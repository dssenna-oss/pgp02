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314893DD-31C4-4AD6-952B-B597D5F76614}" xr6:coauthVersionLast="47" xr6:coauthVersionMax="47" xr10:uidLastSave="{00000000-0000-0000-0000-000000000000}"/>
  <bookViews>
    <workbookView xWindow="0" yWindow="0" windowWidth="28800" windowHeight="15600" xr2:uid="{5D066912-F826-2C4E-BDAE-1DABD760838C}"/>
  </bookViews>
  <sheets>
    <sheet name="Perfil da Organização" sheetId="1" r:id="rId1"/>
    <sheet name="Aplicabilidade" sheetId="2" r:id="rId2"/>
    <sheet name="Conceitos" sheetId="3" r:id="rId3"/>
    <sheet name="Controles" sheetId="4" r:id="rId4"/>
    <sheet name="Analítico" sheetId="5" r:id="rId5"/>
    <sheet name="Status da Análise" sheetId="6" r:id="rId6"/>
  </sheets>
  <definedNames>
    <definedName name="_xlnm._FilterDatabase" localSheetId="3" hidden="1">Controles!$B$5:$K$5</definedName>
    <definedName name="adhes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0" i="5" l="1"/>
  <c r="I39" i="5"/>
  <c r="I38" i="5"/>
  <c r="I37" i="5"/>
  <c r="I36" i="5"/>
  <c r="I35" i="5"/>
  <c r="I34" i="5"/>
  <c r="I30" i="5"/>
  <c r="I26" i="5"/>
  <c r="I22" i="5"/>
  <c r="I18" i="5"/>
  <c r="I17" i="5"/>
  <c r="I13" i="5"/>
  <c r="I12" i="5"/>
  <c r="F56" i="5"/>
  <c r="F55" i="5"/>
  <c r="F54" i="5"/>
  <c r="F53" i="5"/>
  <c r="F44" i="5"/>
  <c r="G45" i="5" s="1"/>
  <c r="F40" i="5"/>
  <c r="G38" i="5" s="1"/>
  <c r="F36" i="5"/>
  <c r="G35" i="5" s="1"/>
  <c r="F32" i="5"/>
  <c r="G30" i="5" s="1"/>
  <c r="F28" i="5"/>
  <c r="G27" i="5" s="1"/>
  <c r="F27" i="5"/>
  <c r="G25" i="5" s="1"/>
  <c r="F26" i="5"/>
  <c r="F22" i="5"/>
  <c r="G22" i="5" s="1"/>
  <c r="F18" i="5"/>
  <c r="F17" i="5"/>
  <c r="F13" i="5"/>
  <c r="G14" i="5" s="1"/>
  <c r="F9" i="5"/>
  <c r="F8" i="5"/>
  <c r="G5" i="5" s="1"/>
  <c r="F7" i="5"/>
  <c r="G43" i="5"/>
  <c r="G42" i="5"/>
  <c r="J36" i="5"/>
  <c r="J33" i="5"/>
  <c r="G31" i="5"/>
  <c r="J30" i="5"/>
  <c r="J27" i="5"/>
  <c r="G24" i="5"/>
  <c r="J23" i="5"/>
  <c r="J21" i="5"/>
  <c r="J20" i="5"/>
  <c r="J15" i="5"/>
  <c r="G15" i="5"/>
  <c r="J13" i="5"/>
  <c r="J11" i="5"/>
  <c r="G12" i="5"/>
  <c r="J10" i="5"/>
  <c r="C81" i="5"/>
  <c r="C80" i="5"/>
  <c r="C79" i="5"/>
  <c r="C78" i="5"/>
  <c r="C77" i="5"/>
  <c r="C76" i="5"/>
  <c r="C75" i="5"/>
  <c r="C74" i="5"/>
  <c r="C73" i="5"/>
  <c r="C72" i="5"/>
  <c r="C71" i="5"/>
  <c r="C70" i="5"/>
  <c r="C69" i="5"/>
  <c r="C68" i="5"/>
  <c r="C67" i="5"/>
  <c r="C66" i="5"/>
  <c r="C65" i="5"/>
  <c r="C64" i="5"/>
  <c r="C63" i="5"/>
  <c r="C62" i="5"/>
  <c r="C61" i="5"/>
  <c r="C60" i="5"/>
  <c r="C59" i="5"/>
  <c r="C58" i="5"/>
  <c r="C47" i="5"/>
  <c r="C46" i="5"/>
  <c r="C45" i="5"/>
  <c r="C41" i="5"/>
  <c r="C37" i="5"/>
  <c r="C33" i="5"/>
  <c r="C28" i="5"/>
  <c r="C24" i="5"/>
  <c r="C23" i="5"/>
  <c r="C22" i="5"/>
  <c r="C21" i="5"/>
  <c r="C20" i="5"/>
  <c r="C12" i="5"/>
  <c r="C13" i="5"/>
  <c r="C14" i="5"/>
  <c r="C15" i="5"/>
  <c r="C16" i="5"/>
  <c r="C11" i="5"/>
  <c r="C7" i="5"/>
  <c r="J5" i="5" l="1"/>
  <c r="G11" i="5"/>
  <c r="G37" i="5"/>
  <c r="G36" i="5"/>
  <c r="G13" i="5"/>
  <c r="G34" i="5"/>
  <c r="G44" i="5"/>
  <c r="G20" i="5"/>
  <c r="G23" i="5"/>
  <c r="G21" i="5"/>
  <c r="J31" i="5"/>
  <c r="G8" i="5"/>
  <c r="G18" i="5"/>
  <c r="J25" i="5"/>
  <c r="G6" i="5"/>
  <c r="J12" i="5"/>
  <c r="G16" i="5"/>
  <c r="J28" i="5"/>
  <c r="G32" i="5"/>
  <c r="J35" i="5"/>
  <c r="J6" i="5"/>
  <c r="J8" i="5"/>
  <c r="J16" i="5"/>
  <c r="J18" i="5"/>
  <c r="J22" i="5"/>
  <c r="G26" i="5"/>
  <c r="J29" i="5"/>
  <c r="G33" i="5"/>
  <c r="G39" i="5"/>
  <c r="G7" i="5"/>
  <c r="G17" i="5"/>
  <c r="G40" i="5"/>
  <c r="J7" i="5"/>
  <c r="J17" i="5"/>
  <c r="J24" i="5"/>
  <c r="J34" i="5"/>
  <c r="J26" i="5"/>
  <c r="G41" i="5"/>
  <c r="B54" i="5"/>
  <c r="B51" i="5"/>
  <c r="B52" i="5"/>
  <c r="B53" i="5"/>
</calcChain>
</file>

<file path=xl/sharedStrings.xml><?xml version="1.0" encoding="utf-8"?>
<sst xmlns="http://schemas.openxmlformats.org/spreadsheetml/2006/main" count="1102" uniqueCount="479">
  <si>
    <t>Lei Geral de Proteção de Dados (LGPD)</t>
  </si>
  <si>
    <t>Perfil da Organização</t>
  </si>
  <si>
    <t>Nome:</t>
  </si>
  <si>
    <t>DPO (Data Protection Officer)</t>
  </si>
  <si>
    <t>Lucro anual estimado</t>
  </si>
  <si>
    <t xml:space="preserve">Não </t>
  </si>
  <si>
    <t>Setor de Atuação</t>
  </si>
  <si>
    <t>Estrutura Organizacional do DPO (Papéis estabelecidos)</t>
  </si>
  <si>
    <t>Região(ões) de operação:</t>
  </si>
  <si>
    <t>Controlador ou Operador</t>
  </si>
  <si>
    <t>Quais dos processos abaixo estão implementados ?</t>
  </si>
  <si>
    <t>Orçamento de proteção de dados para os próximos 12 meses?</t>
  </si>
  <si>
    <t>N</t>
  </si>
  <si>
    <t>Privacy by Design</t>
  </si>
  <si>
    <t>Gestão de incidentes de privacidade</t>
  </si>
  <si>
    <t>DPIA (Data Protection &amp; Impact Assessment)</t>
  </si>
  <si>
    <t>S</t>
  </si>
  <si>
    <t xml:space="preserve">Descrição de bases legais para legitimação </t>
  </si>
  <si>
    <t>Existem outros departamentos com orçamento de proteção de dados?</t>
  </si>
  <si>
    <t>Processo para gestão de petição de titulares</t>
  </si>
  <si>
    <t>Descrição de períodos de retenção dos dados pessoais</t>
  </si>
  <si>
    <t>Políticas e normas de privacidade</t>
  </si>
  <si>
    <t>Segurança da Informação e Criptografia</t>
  </si>
  <si>
    <t xml:space="preserve">Orçamento anual </t>
  </si>
  <si>
    <t>Principais stakeholders</t>
  </si>
  <si>
    <t>Total</t>
  </si>
  <si>
    <t>Investimento</t>
  </si>
  <si>
    <t>Despesas operacionais</t>
  </si>
  <si>
    <t>Aplicabilidade</t>
  </si>
  <si>
    <t>Art. 3º Esta Lei aplica-se a qualquer operação de tratamento realizada por pessoa natural ou por pessoa jurídica de direito público ou privado, independentemente do meio, do país de sua sede ou do país onde estejam localizados os dados, desde que:</t>
  </si>
  <si>
    <t>I – a operação de tratamento seja realizada no território nacional;
II – a atividade de tratamento tenha por objetivo a oferta ou o fornecimento de bens ou serviços ou o tratamento de dados de indivíduos localizados no território nacional;
III – os dados pessoais objeto do tratamento tenham sido coletados no território nacional.
§ 1º Consideram-se coletados no território nacional os dados pessoais cujo titular nele se encontre no momento da coleta.
§ 2º Excetua-se do disposto no inciso I deste artigo o tratamento de dados previsto no inciso III do caput do art. 4º desta Lei.</t>
  </si>
  <si>
    <r>
      <t xml:space="preserve">Art. 4º Esta Lei </t>
    </r>
    <r>
      <rPr>
        <b/>
        <u/>
        <sz val="10"/>
        <color rgb="FFC00000"/>
        <rFont val="Calibri Light"/>
        <family val="2"/>
        <scheme val="major"/>
      </rPr>
      <t>não</t>
    </r>
    <r>
      <rPr>
        <b/>
        <sz val="10"/>
        <color theme="1"/>
        <rFont val="Calibri Light"/>
        <family val="2"/>
        <scheme val="major"/>
      </rPr>
      <t xml:space="preserve"> se aplica ao tratamento de dados pessoais:</t>
    </r>
  </si>
  <si>
    <t>I – realizado por pessoa natural para fins exclusivamente particulares e não econômicos;</t>
  </si>
  <si>
    <t>II – realizado para fins exclusivamente:</t>
  </si>
  <si>
    <t>a) jornalísticos;</t>
  </si>
  <si>
    <t>b) artísticos;</t>
  </si>
  <si>
    <t>c) acadêmicos, aplicando-se a esta hipótese os arts. 13 e 17 desta Lei;</t>
  </si>
  <si>
    <t>d) de segurança pública;</t>
  </si>
  <si>
    <t>e) de defesa nacional;</t>
  </si>
  <si>
    <t>f) de segurança do Estado;</t>
  </si>
  <si>
    <t>g) de atividades de investigação e repressão de infrações penais;</t>
  </si>
  <si>
    <t>III – provenientes de fora do território nacional e que:</t>
  </si>
  <si>
    <t>a) não sejam objeto de comunicação ou de uso compartilhado com agentes de tratamento brasileiros;</t>
  </si>
  <si>
    <t>b) sejam objeto de transferência internacional de dados com outro país que não o de proveniência, desde que o país de proveniência proporcione grau de proteção de dados pessoais adequado ao previsto nesta Lei.</t>
  </si>
  <si>
    <t>Conceitos</t>
  </si>
  <si>
    <t>Conceitos adotados pela Lei Geral de Proteção de Dados conforme o Artigo 5 da LGPD:</t>
  </si>
  <si>
    <t>Dado Pessoal</t>
  </si>
  <si>
    <t>Informação relacionada à pessoa natural identificada ou identificável</t>
  </si>
  <si>
    <t>Dado Pessoal Sensível</t>
  </si>
  <si>
    <t>Dado pessoal sobre origem racial ou étnica, convicção religiosa, opinião política, filiação a sindicato ou a organização de caráter religioso, filosófico ou político, saúde, vida sexual, genética ou biometria, quando vinculado a pessoa natural</t>
  </si>
  <si>
    <t>Banco de Dados</t>
  </si>
  <si>
    <t>Conjunto estruturado de dados pessoais, estabelecido em um ou em vários locais, em suporte eletrônico ou físico</t>
  </si>
  <si>
    <t>Dado Anonimizado</t>
  </si>
  <si>
    <t>Dado relativo a titular que não possa ser identificado, utilizando-se meios técnicos razoáveis e disponíveis na ocasião de seu tratamento</t>
  </si>
  <si>
    <t>Titular</t>
  </si>
  <si>
    <t>A pessoa natural a quem se referem os dados pessoais que são objeto de tratamento</t>
  </si>
  <si>
    <t>Controlador</t>
  </si>
  <si>
    <t>Pessoa natural ou jurídica, de direito público ou privado, a quem competem as decisões referentes ao tratamento de dados pessoais</t>
  </si>
  <si>
    <t>Operador</t>
  </si>
  <si>
    <t>Pessoa natural ou jurídica, de direito público ou privado, que realiza o tratamento de dados pessoais em nome do controlador;</t>
  </si>
  <si>
    <t>Encarregado</t>
  </si>
  <si>
    <t>Pessoa natural, indicada pelo controlador, que atua como canal de comunicação entre o controlador e os titulares e a autoridade nacional</t>
  </si>
  <si>
    <t>Agentes do tratamento</t>
  </si>
  <si>
    <t>O controlador e o operador</t>
  </si>
  <si>
    <t>Autoridade nacional</t>
  </si>
  <si>
    <t>Órgão da administração pública indireta responsável pelo cumprimento desta Lei</t>
  </si>
  <si>
    <t>Orgão de pesquisa</t>
  </si>
  <si>
    <t>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t>
  </si>
  <si>
    <t>Tratamento</t>
  </si>
  <si>
    <t>Toda operação realizada com dados pessoais, como as que se referem a coleta, produção, recepção, classificação, utilização, acesso, reprodução, transmissão, distribuição, processamento, arquivamento, armazenamento, eliminação, avaliação, controle, modificação, comunicação, transferência, difusão ou extração</t>
  </si>
  <si>
    <t>Anonimização</t>
  </si>
  <si>
    <t>Processo em que um dado perde a possibilidade de associação, direta ou indireta, a um indivíduo, mediante utilização de meios técnicos razoáveis e disponíveis no momento do tratamento</t>
  </si>
  <si>
    <t>Consentimento</t>
  </si>
  <si>
    <t>Manifestação livre, informada e inequívoca pela qual o titular concorda com o tratamento de seus dados pessoais para finalidade determinada</t>
  </si>
  <si>
    <t>Bloqueio</t>
  </si>
  <si>
    <t>Suspensão temporária de qualquer operação de tratamento, mediante guarda do dado pessoal ou do banco de dados</t>
  </si>
  <si>
    <t>Eliminação</t>
  </si>
  <si>
    <t>Exclusão de dado ou de conjunto de dados armazenados em banco de dados</t>
  </si>
  <si>
    <t>Transferência internacional de dados</t>
  </si>
  <si>
    <t>Transferência de dados pessoais para país estrangeiro ou organismo internacional do qual o país seja membro</t>
  </si>
  <si>
    <t>Uso compartilhado de dados</t>
  </si>
  <si>
    <t>Comunicação, difusão, transferência internacional, interconexão de dados pessoais ou tratamento compartilhado de bancos de dados pessoais por órgãos e entidades públicas no cumprimento de suas competências legais, ou entre esses e entes privados, reciprocamente, com autorização específica, para uma ou mais modalidades de tratamento permitidas por esses entes públicos, ou entre entes privados</t>
  </si>
  <si>
    <t>Documentação do controlador que contém a descrição dos processos de tratamento de dados pessoais que podem gerar riscos às liberdades civis e aos direitos fundamentais, bem como medidas, salvaguardas e mecanismos de mitigação de risco.</t>
  </si>
  <si>
    <t>Documentação do responsável que contém a descrição dos processos de tratamento de dados pessoais que podem gerar riscos às liberdades civis e aos direitos fundamentais, bem como medidas, salvaguardas e mecanismos de mitigação de risco</t>
  </si>
  <si>
    <t>Matriz de Controles  e Avaliação de Gaps</t>
  </si>
  <si>
    <t>Controle</t>
  </si>
  <si>
    <t>Domínio</t>
  </si>
  <si>
    <t>Instruções</t>
  </si>
  <si>
    <t>Questionamentos</t>
  </si>
  <si>
    <t>Artigo</t>
  </si>
  <si>
    <t>Capítulo</t>
  </si>
  <si>
    <t>Cenário Atual</t>
  </si>
  <si>
    <t>Mapeamento</t>
  </si>
  <si>
    <t>Aderência</t>
  </si>
  <si>
    <t>Ponto de Melhoria</t>
  </si>
  <si>
    <t>Tratamento dos dados pessoais</t>
  </si>
  <si>
    <t>Descrever</t>
  </si>
  <si>
    <t>Quais as principais atividades de tratamento de dados pessoais realizadas pela organização e, em linhas gerais, como tais atividades são realizadas?</t>
  </si>
  <si>
    <t>Art. 5º Para os fins desta Lei, considera-se:
I - dado pessoal: informação relacionada a pessoa natural identificada ou identificável; 
X - tratamento: toda operação realizada com dados pessoais, como as que se referem a coleta, produção, recepção, classificação, utilização, acesso, reprodução, transmissão, distribuição, processamento, arquivamento, armazenamento, eliminação, avaliação ou controle da informação, modificação, comunicação, transferência, difusão ou extração.</t>
  </si>
  <si>
    <t>CAPÍTULO I  - DISPOSIÇÕES PRELIMINARES</t>
  </si>
  <si>
    <t>A Empresa Beta realiza o tratamento de dados para prestação de serviços aos seus clientes, bem como para gestão interna de seus colaboradores.</t>
  </si>
  <si>
    <t>Em andamento</t>
  </si>
  <si>
    <t>Parcialmente aderente</t>
  </si>
  <si>
    <t>Adequar o tratamento de dados pessoais as diretrizes da LGPD (definição das bases legais)</t>
  </si>
  <si>
    <t>Tratamento dos dados pessoais sensíveis</t>
  </si>
  <si>
    <t>S/N</t>
  </si>
  <si>
    <t>A organização realiza algum tipo de tratamento de dado pessoal sensível?</t>
  </si>
  <si>
    <t>Art. 5º Para os fins desta Lei, considera-se: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X - tratamento: toda operação realizada com dados pessoais, como as que se referem a coleta, produção, recepção, classificação, utilização, acesso, reprodução, transmissão, distribuição, processamento, arquivamento, armazenamento, eliminação, avaliação ou controle da informação, modificação, comunicação, transferência, difusão ou extração.</t>
  </si>
  <si>
    <t>Sim</t>
  </si>
  <si>
    <t>Adequar o tratamento de dados pessoais sensíveis as diretrizes da LGPD (definição das bases legais)</t>
  </si>
  <si>
    <t>Se a pergunta anterior for Sim</t>
  </si>
  <si>
    <t>Quais as principais atividades de tratamento de dados pessoais sensíveis realizadas pela organização e, em linhas gerais, como tais atividades são realizadas?</t>
  </si>
  <si>
    <t>São tratados dados pessoais sensíveis para a diversidade na empresa e uso de imagem de colaboradores.</t>
  </si>
  <si>
    <t>As operações de tratamento de dados pessoais são realizadas com base na boa fé e em algum dos princípios de privacidade listados abaixo?</t>
  </si>
  <si>
    <t>Art. 6º As atividades de tratamento de dados pessoais deverão observar a boa-fé e os seguintes princípios:
I – finalidade: realização do tratamento para propósitos legítimos, específicos, explícitos e informados ao titular, sem possibilidade de tratamento posterior de forma incompatível com esses propósitos;
II – adequação: compatibilidade do tratamento com as finalidades informadas ao titular, de acordo com o contexto do tratamento;
III – necessidade: limitação do tratamento ao mínimo necessário para a realização de suas finalidades, com a utilização de dados pertinentes, proporcionais e não excessivos em relação às finalidades do tratamento;
IV – livre acesso: garantia, aos titulares, de consulta facilitada e gratuita sobre a forma e a duração do tratamento, bem como sobre a integralidade de seus dados pessoais;
V – qualidade dos dados: garantia, aos titulares, de exatidão, clareza, relevância e atualização dos dados, de acordo com a necessidade e para o cumprimento da finalidade de seu tratamento;
VI – transparência: garantia, aos titulares, de informações claras, precisas e facilmente acessíveis sobre a realização do tratamento e os respectivos agentes de tratamento, observados os segredos comercial e industrial;
VII – segurança: utilização de medidas técnicas e administrativas aptas a proteger os dados pessoais de acessos não autorizados e de eventos acidentais ou ilícitos de destruição, perda, alteração, comunicação ou difusão;
VIII – prevenção: adoção de medidas para prevenir a ocorrência de danos em virtude do tratamento de dados pessoais;
IX – não discriminação: impossibilidade de realização do tratamento para fins discriminatórios ilícitos ou abusivos;
X – responsabilização e prestação de contas: demonstração, pelo agente, da adoção de medidas eficazes e capazes de comprovar a observância e o cumprimento das normas de proteção de dados pessoais e, inclusive, da eficácia dessas medidas.</t>
  </si>
  <si>
    <t>Parcialmente.</t>
  </si>
  <si>
    <t>Checkbox</t>
  </si>
  <si>
    <t>I – finalidade: realização do tratamento para propósitos legítimos, específicos, explícitos e informados ao titular, sem possibilidade de tratamento posterior de forma incompatível com esses propósitos;</t>
  </si>
  <si>
    <t>Revisão de Políticas para conformidade com o príncipio.</t>
  </si>
  <si>
    <t>II – adequação: compatibilidade do tratamento com as finalidades informadas ao titular, de acordo com o contexto do tratamento;</t>
  </si>
  <si>
    <t>III – necessidade: limitação do tratamento ao mínimo necessário para a realização de suas finalidades, com a utilização de dados pertinentes, proporcionais e não excessivos em relação às finalidades do tratamento;</t>
  </si>
  <si>
    <t>IV – livre acesso: garantia, aos titulares, de consulta facilitada e gratuita sobre a forma e a duração do tratamento, bem como sobre a integralidade de seus dados pessoais;</t>
  </si>
  <si>
    <t>Indicação de um canal de contato para possibilitar ao titular exercer os seus direitos</t>
  </si>
  <si>
    <t>V – qualidade dos dados: garantia, aos titulares, de exatidão, clareza, relevância e atualização dos dados, de acordo com a necessidade e para o cumprimento da finalidade de seu tratamento;</t>
  </si>
  <si>
    <t>VI – transparência: garantia, aos titulares, de informações claras, precisas e facilmente acessíveis sobre a realização do tratamento e os respectivos agentes de tratamento, observados os segredos comercial e industrial;</t>
  </si>
  <si>
    <t>VII – segurança: utilização de medidas técnicas e administrativas aptas a proteger os dados pessoais de acessos não autorizados e de eventos acidentais ou ilícitos de destruição, perda, alteração, comunicação ou difusão;</t>
  </si>
  <si>
    <t>Necessário adequar as Políticas internas e externas e os processos de Tratamento de Dados Pessoais da Empresa Beta para atender aos príncipios da LGPD.</t>
  </si>
  <si>
    <t>VIII – prevenção: adoção de medidas para prevenir a ocorrência de danos em virtude do tratamento de dados pessoais;</t>
  </si>
  <si>
    <t>IX – não discriminação: impossibilidade de realização do tratamento para fins discriminatórios ilícitos ou abusivos;</t>
  </si>
  <si>
    <t>Não iniciado</t>
  </si>
  <si>
    <t>Não aderente</t>
  </si>
  <si>
    <t>Avaliar a questão de realização de background chack pela Empresa Beta para contratacão de novos colaboradores.</t>
  </si>
  <si>
    <t>X – responsabilização e prestação de contas: demonstração, pelo agente, da adoção de medidas eficazes e capazes de comprovar a observância e o cumprimento das normas de proteção de dados pessoais e, inclusive, da eficácia dessas medidas.</t>
  </si>
  <si>
    <t>A Empresa Beta deverá demonstrar por meio de politicas, listas de realização de treinamentos, e outros documentos que está em processo de adequação à LGPD.</t>
  </si>
  <si>
    <t>Privacy By Design</t>
  </si>
  <si>
    <t>A organização possui um processo de Privacy by Design?</t>
  </si>
  <si>
    <t>Não.</t>
  </si>
  <si>
    <t>Ao desenvolver um novo produto ou serviço a Empresa Beta deverá avaliar as diretrizes da LGPD, realizando o processo de Privacy by Design.</t>
  </si>
  <si>
    <t>Se a pergunta anterior for Sim
S/N</t>
  </si>
  <si>
    <t>O processo de Privacy by Design considera o princípio da boa-fé e os 10 princípios de privacidade?</t>
  </si>
  <si>
    <t>Não existe.</t>
  </si>
  <si>
    <t>N/A</t>
  </si>
  <si>
    <t>Se a pergunta principal for Sim
S/N</t>
  </si>
  <si>
    <t xml:space="preserve">O processo de Privacy by Design está documentado ? </t>
  </si>
  <si>
    <t>Art. 6º As atividades de tratamento de dados pessoais deverão observar a boa-fé e os seguintes princípios:
I - finalidade: realização do tratamento para propósitos legítimos, específicos, explícitos e informados ao titular, sem possibilidade de tratamento posterior de forma incompatível com essas finalidades;
II - adequação: compatibilidade do tratamento com as finalidades informadas ao titular, de acordo com o contexto do tratamento;
III - necessidade: limitação do tratamento ao mínimo necessário para a realização de suas finalidades, com
abrangência dos dados pertinentes, proporcionais e não excessivos em relação às finalidades do tratamento de dados; 
IV - livre acesso: garantia, aos titulares, de consulta facilitada e gratuita sobre a forma e a duração do tratamento, bem como sobre a integralidade de seus dados pessoais;
V - qualidade dos dados: garantia, aos titulares, de exatidão, clareza, relevância e atualização dos dados, de acordo com a necessidade e para o cumprimento da finalidade de seu tratamento;
VI - transparência: garantia, aos titulares, de informações claras, precisas e facilmente acessíveis sobre a realização do tratamento e os respectivos agentes de tratamento, observados os segredos comercial e industrial;
VII - segurança: utilização de medidas técnicas e administrativas aptas a proteger os dados pessoais de acessos não autorizados e de situações acidentais ou ilícitas de destruição, perda, alteração, comunicação ou difusão;
VIII - prevenção: adoção de medidas para prevenir a ocorrência de danos em virtude do tratamento de dados pessoais;
IX - não discriminação: impossibilidade de realização do tratamento para fins discriminatórios ilícitos ou abusivos;
X - responsabilização e prestação de contas: demonstração, pelo agente, da adoção de medidas eficazes e capazes de comprovar a observância e o cumprimento das normas de proteção de dados pessoais e, inclusive, da eficácia dessas medidas.</t>
  </si>
  <si>
    <t>DPIA</t>
  </si>
  <si>
    <t>A organização emite atualmente algum tipo de relatório de impacto de proteção de dados pessoais - DPIA (Data Protection &amp; Impact Assessment)?</t>
  </si>
  <si>
    <t>Art. 38. A autoridade nacional poderá determinar ao controlador que elabore relatório de impacto à proteção de dados pessoais, inclusive de dados sensíveis, referente a suas operações de tratamento de dados, nos termos de regulamento, observados os segredos comercial e industrial.
Parágrafo único. Observado o disposto no caput deste artigo, o relatório deverá conter, no mínimo, a descrição dos tipos de dados coletados, a metodologia utilizada para a coleta e para a garantia da segurança das informações e a análise do controlador com relação a medidas, salvaguardas e mecanismos de mitigação de risco adotados.</t>
  </si>
  <si>
    <t>CAPÍTULO VI DOS AGENTES DE TRATAMENTO DE DADOS PESSOAIS
Seção I Do Controlador e do Operador</t>
  </si>
  <si>
    <t>Não</t>
  </si>
  <si>
    <t>Ao utilizar a base legal do legitimo interesse ou em casos que possam gerar risco ao titular, ou ainda quando solicitado pela ANPD a Empresa Beta deverá elaborar o Relatório de Impacto.</t>
  </si>
  <si>
    <t>O processo de DPIA (Data Protection &amp; Impact Assessment) considera o princípio da boa fé e os 10 princípios de privacidade ?</t>
  </si>
  <si>
    <t>Se a pergunta principal for Sim</t>
  </si>
  <si>
    <t>O processo de DPIA está documentado? Com qual frequência o processo é conduzido? Para qual escopo ?</t>
  </si>
  <si>
    <t>Um relatório de impacto a proteção dos dados foi gerado para os casos em que o legítimo interesse foi adotado como base legal ?</t>
  </si>
  <si>
    <t>Art 10 
§ 3º A autoridade nacional poderá solicitar ao controlador relatório de impacto à proteção de dados pessoais, quando o tratamento tiver como fundamento seu interesse legítimo, observados os segredos comercial e industrial.</t>
  </si>
  <si>
    <t>CAPÍTULO II - DO TRATAMENTO DE DADO S PESSOAIS
Seção I
Dos Requisitos para o Tratamen to de Dados Pessoais</t>
  </si>
  <si>
    <t>Não foi elaborado nenhum Relatório de Impacto</t>
  </si>
  <si>
    <t>Direito dos titulares dos dados</t>
  </si>
  <si>
    <t xml:space="preserve">Existe um processo/sistema que permite o atendimento às requisições do titular (acesso, confirmação, correção,anonimização,bloqueio,eliminação,portabilidade e revogação de consentimento)? </t>
  </si>
  <si>
    <t>Art. 18. O titular dos dados pessoais tem direito a obter do controlador, em relação aos dados do titular por ele tratados, a qualquer momento e mediante requisição:
I - confirmação da existência de tratamento;
II - acesso aos dados;
III - correção de dados incompletos, inexatos ou desatualizados;
IV - anonimização, bloqueio ou eliminação de dados desnecessários, excessivos ou tratados em desconformidade com o disposto nesta Lei;
V - portabilidade dos dados a outro fornecedor de serviço ou produto, mediante requisição expressa e observados os segredos comercial e industrial, de acordo com a regulamentação do órgão controlador;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t>
  </si>
  <si>
    <t>CAPÍTULO III DOS DIREITOS DO TI TULAR</t>
  </si>
  <si>
    <t>Inexiste procedimento para atendimento aos Titulares.</t>
  </si>
  <si>
    <t>É necessário estabelecer um procedimento para atendimento das demandas dos titulares.</t>
  </si>
  <si>
    <t>O processo/sistema permite que o titular tenha acesso facilitado às informações sobre o tratamento de seus dados (finalidade, forma, duração do tratamento, dados do controlador, uso compartilhado, responsabilidade e demais direitos do titular) de forma clara e simplificada?</t>
  </si>
  <si>
    <t>Art. 9º O titular tem direito ao acesso facilitado às informações sobre o tratamento de seus dados, que deverão ser disponibilizadas de forma clara, adequada e ostensiva acerca de, entre outras características previstas em regulamentação para o atendimento do princípio do livre acesso:
I - finalidade específica do tratamento;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t>
  </si>
  <si>
    <t>CAPÍTULO II - DO TRATAMENTO DE DADOS PESSOAIS - Seção I Dos Requisitos para o Tratamento de Dados Pessoais</t>
  </si>
  <si>
    <t>Existe um prazo para resposta às requisições dos titulares relacionadas à existênia ou acesso a seus dados pessoais?</t>
  </si>
  <si>
    <t>Art. 19. A confirmação de existência ou o acesso a dados pessoais serão providenciados, mediante requisição do titular:
I - em formato simplificado, imediatamente; ou
II - por meio de declaração clara e completa, que indique a origem dos dados, a inexistência de registro, os critérios utilizados e a finalidade do tratamento, observados os segredos comercial e industrial, fornecida no prazo de até
15 (quinze) dias, contado da data do requerimento do titular.
§ 1º Os dados pessoais serão armazenados em formato que favoreça o exercício do direito de acesso.
§ 2º As informações e os dados poderão ser fornecidos, a critério do titular:
I - por meio eletrônico, seguro e idôneo para esse fim; ou
II - sob forma impressa.</t>
  </si>
  <si>
    <t>CAPÍTULO III - DOS DIREITOS DO TITULAR</t>
  </si>
  <si>
    <t>Inexiste procedimento para resposta aos Titulares.</t>
  </si>
  <si>
    <t>Elaboração de procedimento para atender as demandas do colaborador, inclusive com indicação de prazo de resposta.</t>
  </si>
  <si>
    <t>Existe um procedimento padrão para atendimento às requisições dos titulares caso o atendimento não possa ser realizado de forma imediata?</t>
  </si>
  <si>
    <t>Art. 18
§ 4º Em caso de impossibilidade de adoção imediata da providência de que trata o § 3º deste artigo, o controlador enviará ao titular resposta em que poderá:
I - comunicar que não é agente de tratamento dos dados e indicar, sempre que possível, o agente; ou
II - indicar as razões de fato ou de direito que impedem a adoção imediata da providência</t>
  </si>
  <si>
    <t>Definir um canal e um processo para atender as demandas do titular de dados.</t>
  </si>
  <si>
    <t>O processo de correção, eliminação, anonimização e bloqueio de dados, originado da requisição de um titular, foi desenhado de modo a acionar todas as empresas com as quais os dados do titular foram compartilhados?</t>
  </si>
  <si>
    <t>Art. 18.
§ 6º O responsável deverá informar de maneira imediata aos agentes de tratamento com os quais tenha realizado uso compartilhado de dados a correção, a eliminação, a anonimização ou o bloqueio dos dados, para que repitam idêntico procedimento.</t>
  </si>
  <si>
    <t>Existem decisões tomadas com base em tratamentos automatizados?</t>
  </si>
  <si>
    <t>Art. 20. O titular dos dados tem direito a solicitar revisão, por pessoa natural, de decisões tomadas unicamente com base em tratamento automatizado de dados pessoais que afetem seus interesses, inclusive de decisões destinadas a definir o seu perfil pessoal, profissional, de consumo e de crédito ou os aspectos de sua personalidade.
§ 1º O controlador deverá fornecer, sempre que solicitadas, informações claras e adequadas a respeito dos critérios e dos procedimentos utilizados para a decisão automatizada, observados os segredos comercial e industrial.</t>
  </si>
  <si>
    <t>Tratamento dos dados pessoais - Legitimação de uso de dados</t>
  </si>
  <si>
    <t>A organização possui um inventário de dados pessoais com a indicação das respectivas bases legais (justificativas) para legitimação do uso dos dados?</t>
  </si>
  <si>
    <t>Art. 7º O tratamento de dados pessoais somente poderá ser realizado nas seguintes hipóteses:
I - mediante o fornecimento de consentimento pelo titular;
II - para o cumprimento de obrigação legal ou regulatória pelo controlador;
III - pela administração pública,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pedido do titular dos dados;
VI - para o exercício regular de direitos em processo judicial, administrativo ou arbitral, esse último nos termos da
Lei nº 9.307, de 23 de setembro de 1996 (Lei de Arbitragem);
VII - para a proteção da vida ou da incolumidade física do titular ou de terceiro; 
VIII - para a tutela da saúde, em procedimento realizado por profissionais da área da saúde ou por entidades sanitárias;
IX - quando necessário para atender aos interesses legítimos do controlador ou de terceiro, exceto no caso de prevalecerem direitos e liberdades fundamentais do titular que exijam a proteção dos dados pessoais; ou
X - para a proteção do crédito, inclusive quanto ao disposto na legislação pertinente.
§ 1º Nos casos de aplicação do disposto nos incisos II e III do caput deste artigo e excetuadas as hipóteses
previstas no art. 4º desta Lei, o titular será informado das hipóteses em que será admitido o tratamento de seus dados.
§ 2º A forma de disponibilização das informações previstas no § 1º e no inciso I do caput do art. 23 desta Lei
poderá ser especificada pela autoridade nacional.</t>
  </si>
  <si>
    <t xml:space="preserve">CAPÍTULO II - DO TRATAMENTO DE DADO S PESSOAIS
Seção I
Dos Requisitos para o Tratamen to de Dados Pessoais
</t>
  </si>
  <si>
    <t xml:space="preserve">O Mapeamento de Dados está em processo de finalização. </t>
  </si>
  <si>
    <t>O mapeamento de dados é um documento extremamente importante para a Empresa Beta e a avaliação do ciclo de dados permite a adequação à LGPD em conformidade com o que prevê a Lei.</t>
  </si>
  <si>
    <t>Contratos</t>
  </si>
  <si>
    <t>Os contratos celebrados pela organização com clientes, fornecedores, empregados, prestadores de serviço, etc, possuem cláusula relativa ao tratamento de dados pessoais se e quando aplicável?</t>
  </si>
  <si>
    <t>Art. 7º O tratamento de dados pessoais somente poderá ser realizado nas seguintes hipóteses:
V - quando necessário para a execução de contrato ou de procedimentos preliminares relacionados a contrato do qual seja parte o titular, a pedido do titular dos dados.</t>
  </si>
  <si>
    <t>Necessário avaliar os contratos celebrados entre a Empresa Beta e terceiros.</t>
  </si>
  <si>
    <t>Avaliação dos Contratos de terceiros e indicação da necessidade de inclusão de cláusula de proteção de dados quando aplicável</t>
  </si>
  <si>
    <t>O uso do legítimo interesse para legitimação de dados limita-se as hipóteses apresentadas abaixo:</t>
  </si>
  <si>
    <t>Art. 10. O legítimo interesse do controlador somente poderá fundamentar tratamento de dados pessoais para finalidades legítimas, consideradas a partir de situações concretas, que incluem, mas não se limitam a:
I – apoio e promoção de atividades do controlador;
II – proteção, em relação ao titular, do exercício regular de seus direitos ou prestação de serviços que o beneficiem, respeitadas as legítimas expectativas dele e os direitos e liberdades fundamentais, nos termos desta Lei.
§ 1º Quando o tratamento for baseado no legítimo interesse do controlador, somente os dados pessoais estritamente necessários para a finalidade pretendida poderão ser tratados.
§ 2º O controlador deverá adotar medidas para garantir a transparência do tratamento de dados baseado em seu legítimo interesse.
§ 3º A autoridade nacional poderá solicitar ao controlador relatório de impacto à proteção de dados pessoais, quando o tratamento tiver como fundamento seu interesse legítimo, observados os segredos comercial e industrial.</t>
  </si>
  <si>
    <t>I – apoio e promoção de atividades do controlador;</t>
  </si>
  <si>
    <t>Necessário elaborar Teste de Balanceamento para verificar se o interesse legitimo da Empresa Beta é adequado.</t>
  </si>
  <si>
    <t>II – proteção, em relação ao titular, do exercício regular de seus direitos ou prestação de serviços que o beneficiem, respeitadas as legítimas expectativas dele e os direitos e liberdades fundamentais, nos termos desta Lei.</t>
  </si>
  <si>
    <t>O uso de legítimo interesse para legitimação de dados está documentado pelo controlador e operador?</t>
  </si>
  <si>
    <t>Art. 37. O controlador e o operador devem manter registro das operações de tratamento de dados pessoais que realizarem, especialmente quando baseado no legítimo interesse.</t>
  </si>
  <si>
    <t>CAPÍTULO VI - DOS AGENTES DE TRATAMENTO D E DADOS PESSOAIS
Seção I
Do Controlador e do Operador</t>
  </si>
  <si>
    <t>Tratamento dos dados pessoais - Dados públicos</t>
  </si>
  <si>
    <t>A organização realiza tratamento de dados pessoais cujo acesso é público?</t>
  </si>
  <si>
    <t>Art. 7 
§ 3º O tratamento de dados pessoais cujo acesso é público deve  considerar a finalidade, a boa-fé e o interesse público que justificaram sua disponibilização.</t>
  </si>
  <si>
    <t>Necessário validar se o uso de dados públicos é legitmo.</t>
  </si>
  <si>
    <t>O tratamento dos dados pessoais de acesso público consideraram a finalidade, a boa-fé e o interesse público que justificaram a sua disponibilização?</t>
  </si>
  <si>
    <t>Necessário validar.</t>
  </si>
  <si>
    <t>Tratamento de dados pessoais - Obtenção / Revogação do Consentimento</t>
  </si>
  <si>
    <t>A organização realiza tratamento de dados pessoais mediante o fornecimento de consentimento pelo titular?</t>
  </si>
  <si>
    <t>Finalizado</t>
  </si>
  <si>
    <t>O consentimento é obtido de forma livre (demonstra a manifestação de vontade do titular) ?</t>
  </si>
  <si>
    <t>Art. 8º O consentimento previsto no inciso I do art. 7º desta Lei deverá ser fornecido por escrito ou por outro meio que demonstre a manifestação de vontade do titular.
cláusulas contratuais.
§ 2º Cabe ao controlador o ônus da prova de que o consentimento foi obtido em conformidade com o disposto nesta Lei.
§ 3º É vedado o tratamento de dados pessoais mediante vício de consentimento.
§ 4º O consentimento deverá referir-se a finalidades determinadas, e as autorizações genéricas para o tratamento de dados pessoais serão nulas.</t>
  </si>
  <si>
    <t>Não aplicável a realidade da Empresa Beta</t>
  </si>
  <si>
    <t>Existe a possibilidade do titular dos dados revogar o consentimento a qualquer momento ?</t>
  </si>
  <si>
    <t>Art. 8. 
§ 5º O consentimento pode ser revogado a qualquer momento mediante manifestação expressa do titular, por procedimento gratuito e facilitado, ratificados os tratamentos realizados sob amparo do consentimento anteriormente manifestado enquanto não houver requerimento de eliminação, nos termos do inciso VI do caput do art. 18 desta Lei.</t>
  </si>
  <si>
    <t>Tratamento dos dados pessoais - Atualização do Consentimento</t>
  </si>
  <si>
    <t>Existe um processo para comunicar o titular sobre alterações de finalidade ou tratamento de seus dados pessoais ?</t>
  </si>
  <si>
    <t>Art. 8. 
§ 6º Em caso de alteração de informação referida nos incisos I, II, III ou V do art. 9º desta Lei, o controlador deverá informar ao titular, com destaque de forma específica do teor das alterações, podendo o titular, nos casos em que o seu consentimento é exigido, revogá-lo caso discorde da alteração.
Art. 9
§ 2º Na hipótese em que o consentimento é requerido, se houver mudanças da finalidade para o tratamento de dados pessoais não compatíveis com o consentimento original, o controlador deverá informar previamente o titular sobre as mudanças de finalidade, podendo o titular revogar o consentimento, caso discorde das alterações.</t>
  </si>
  <si>
    <t>Não existe Política de Privacidade, e Gestão de Titular.</t>
  </si>
  <si>
    <t>Necessário elaborar procedimento para atendimento ao Titular.</t>
  </si>
  <si>
    <t>Tratamento dos dados pessoais - Compartilhamento de dados</t>
  </si>
  <si>
    <t>A organização compartilha dados pessoais com outros controladores?</t>
  </si>
  <si>
    <t>Art. 7. 
§ 5º O controlador que obteve o consentimento referido no inciso I do caput deste artigo que necessitar comunicar ou compartilhar dados pessoais com outros controladores deverá obter consentimento específico do titular para esse fim, ressalvadas as hipóteses de dispensa do consentimento previstas nesta Lei.</t>
  </si>
  <si>
    <t>Necessário implementar procedimento para garantir o compartilhamento seguro de dados pessoais.</t>
  </si>
  <si>
    <t>O titular dos dados pessoais obtidos mediante consentimento é informado sobre o compartilhamento dos seus dados com outros controladores?</t>
  </si>
  <si>
    <t>Não aplicável.</t>
  </si>
  <si>
    <t>Tratamento dos dados pessoais - Tratamento de dados obrigatória</t>
  </si>
  <si>
    <t xml:space="preserve">A organização realiza tratamento de dados pessoais por condição obrigatória para fornecimento do produto ou serviço? </t>
  </si>
  <si>
    <t>Art. 9
§ 3º Quando o tratamento de dados pessoais for condição para o fornecimento de produto ou de serviço ou para
o exercício de direito, o titular será informado com destaque sobre esse fato e sobre os meios pelos quais poderá exercer
os direitos do titular elencados no art. 18 desta Lei.</t>
  </si>
  <si>
    <t>Necessário dar transparência por meio de Política, bem como adequar os contratos celebrados com os clientes.</t>
  </si>
  <si>
    <t>O titular dos dados pessoais é informado de forma destacada sobre o tratamento de seus dados quando o mesmo é realizado como condição obrigatória para o fornecimento do produto ou serviço?</t>
  </si>
  <si>
    <t>Necessário avaliar os contratos celebrados com os clientes.</t>
  </si>
  <si>
    <t>Tratamento dos dados pessoais sensíveis - Com ou sem consentimento</t>
  </si>
  <si>
    <t>Se a resposta à pergunta da linha 8 for Sim
S/N</t>
  </si>
  <si>
    <t>O tratamento de dados pessoais sensíveis é realizado mediante consentimento do titular?</t>
  </si>
  <si>
    <t>Art. 11. O tratamento de dados pessoais sensíveis somente poderá ocorrer nas seguintes hipóteses:
I - quando o titular ou seu responsável legal consentir, de forma específica e destacada, para finalidades específicas;</t>
  </si>
  <si>
    <t>CAPÍTULO II - DO TRATAMENTO DE DADO S PESSOAIS
Seção II
Do Tratamento de Dados P essoais Sensíveis</t>
  </si>
  <si>
    <t>O consentimento do titular para o tratamento de dados sensíveis é dado de forma específica e destacada para finalidades específicas?</t>
  </si>
  <si>
    <t>Se a pergunta principal for Não
S/N</t>
  </si>
  <si>
    <t>O tratamento de dados pessoais sensíveis, sem consentimento, é realizado para alguma das hipóteses abaixo?</t>
  </si>
  <si>
    <t>Art. 11. O tratamento de dados pessoais sensíveis somente poderá ocorrer nas seguintes hipóteses:
II - sem fornecimento de consentimento do titular, nas hipóteses em que for indispensável para:
a) cumprimento de obrigação legal ou regulatória pelo controlador;
b) tratamento compartilhado de dados necessários à execução, pela administração pública, de políticas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e) proteção da vida ou da incolumidade física do titular ou de terceiro;
f) tutela da saúde, em procedimento realizado por profissionais da área da saúde ou por entidades sanitárias; ou
g) garantia da prevenção à fraude e à segurança do titular, nos processos de identificação e autenticação de cadastro em sistemas eletrônicos, resguardados os direitos mencionados no art. 9º desta Lei e exceto no caso de prevalecerem direitos e liberdades fundamentais do titular que exijam a proteção dos dados pessoais.</t>
  </si>
  <si>
    <t>a) cumprimento de obrigação legal ou regulatória pelo controlador;</t>
  </si>
  <si>
    <t>b) tratamento compartilhado de dados necessários à execução, pela administração pública, de políticas públicas previstas em leis ou regulamentos;</t>
  </si>
  <si>
    <t>c) realização de estudos por órgão de pesquisa, garantida, sempre que possível, a anonimização dos dados pessoais sensíveis;</t>
  </si>
  <si>
    <t>d) exercício regular de direitos, inclusive em contrato e em processo judicial, administrativo e arbitral, este último nos termos da Lei nº 9.307, de 23 de setembro de 1996 (Lei de Arbitragem);</t>
  </si>
  <si>
    <t>Necessário dar transparência por meio de Política.</t>
  </si>
  <si>
    <t>e) proteção da vida ou da incolumidade física do titular ou de terceiro;</t>
  </si>
  <si>
    <t>f) tutela da saúde, em procedimento realizado por profissionais da área da saúde ou por entidades sanitárias; ou</t>
  </si>
  <si>
    <t>g) garantia da prevenção à fraude e à segurança do titular, nos processos de identificação e autenticação de cadastro em sistemas eletrônicos, resguardados os direitos mencionados no art. 15 desta Lei e excetuado o caso em que prevaleçam direitos e liberdades fundamentais do titular que exijam a proteção dos dados pessoais</t>
  </si>
  <si>
    <t>Tratamento dos dados pessoais sensíveis - Compartilhamento entre controladores</t>
  </si>
  <si>
    <t>Os dados pessoais sensíveis são compartilhados com outros controladores ?</t>
  </si>
  <si>
    <t>Art. 11. 
§ 3º A comunicação ou o uso compartilhado de dados pessoais sensíveis entre controladores com objetivo de obter vantagem econômica poderá ser objeto de vedação ou de regulamentação por parte da autoridade nacional, ouvidos os órgãos setoriais do Poder Público, no âmbito de suas competências.
§ 4º É vedada a comunicação ou o uso compartilhado entre controladores de dados pessoais sensíveis referentes à saúde com objetivo de obter vantagem econômica, exceto nos casos de portabilidade de dados quando consentido pelo titular.</t>
  </si>
  <si>
    <t>Se a pergunta anterior for Sim
 S/N</t>
  </si>
  <si>
    <t>A finalidade do compartilhamento de dados pessoais sensíveis está associado a obter vantagem econômica ?</t>
  </si>
  <si>
    <t>Tratamento dos dados pessoais  - Anonimização</t>
  </si>
  <si>
    <t>Existem dados pessoais anonimizados?</t>
  </si>
  <si>
    <t>Art. 12. Os dados anonimizados não serão considerados dados pessoais para os fins desta Lei, salvo quando o processo de anonimização ao qual foram submetidos for revertido, utilizando exclusivamente meios próprios, ou quando, com esforços razoáveis, puder ser revertido.
§ 1º A determinação do que seja razoável deve levar em consideração fatores objetivos, tais como custo e tempo necessários para reverter o processo de anonimização, de acordo com as tecnologias disponíveis, e a utilização exclusiva de meios próprios.
Art 18. 
§ 7º A portabilidade dos dados pessoais a que se refere o inciso V do caput deste artigo não inclui dados que já tenham sido anonimizados pelo controlador.</t>
  </si>
  <si>
    <t>CAPÍTULO II - DO TRATAMENTO DE DADO S PESSOAIS
Seção II
Do Tratamento de Dados P essoais Sensíveis
Seção III
Do Tratamento de Dados Pessoais de Crianças e de Adolescentes</t>
  </si>
  <si>
    <t>O processo de anonimização pode ser revertido utilizando exclusivamente meios próprios ou com esforços razoáveis?</t>
  </si>
  <si>
    <t>Tratamento dos dados pessoais sensíveis - Estudos e pesquisas de saúde pública</t>
  </si>
  <si>
    <t>A organização tem acesso a dados pessoais obtidos por meio de realização de estudos em saúde pública.</t>
  </si>
  <si>
    <t xml:space="preserve"> Art. 13. Na realização de estudos em saúde pública, os órgãos de pesquisa poderão ter acesso a bases de dados pessoais, que serão tratados exclusivamente dentro do órgão e estritamente para a finalidade de realização de estudos e pesquisas e mantidos em ambiente controlado e seguro, conforme práticas de segurança previstas em regulam ento específico e que incluam, sempre que possível, a anonimização ou pseudonimização dos dados, bem como considerem os devidos padrões éticos relacionados a estudos e pesquisas. 
§ 1º A divulgação dos resultados ou de qualquer excerto do estudo ou da pesquisa de que trata o caput deste artigo em nenhuma hipótese poderá revelar dados pessoais.
§ 2º O órgão de pesquisa será o responsável pela segurança da informação prevista no caput deste artigo, não permitida, em circunstância alguma, a transferência dos dados a terceiro.
§ 3º O acesso aos dados de que trata este artigo será objeto de regulamentação por parte da autoridade nacional e das autoridades da área de saúde e sanitárias, no âmbito de suas competências.
§ 4º Para os efeitos deste artigo, a pseudonimização é o tratamento por meio do qual um dado perde a possibilidade de associação, direta ou indireta, a um indivíduo, senão pelo uso de informação adicional mantida separadamente pelo controlador em ambiente controlado e seguro.</t>
  </si>
  <si>
    <t>CAPÍTULO II - DO TRATAMENTO DE DADOS PESSOAIS - 
Seção II
Do Tratamento de Dados P essoais Sensíveis</t>
  </si>
  <si>
    <t>Tal atividade não se aplica à Empresa Beta.</t>
  </si>
  <si>
    <t>O tratamento de dados pessoais obtidos por meio de realização de estudos em saúde pública é realizado estritamente para a finalidade de realização de estudos e pesquisas e mantidos em ambiente controlado e seguro?</t>
  </si>
  <si>
    <t>Se a pergunta prinicpal for Sim
S/N</t>
  </si>
  <si>
    <t xml:space="preserve">É realizado o compartilhamento de dados pessoais obtidos por meio de realização de estudos em saúde pública com terceiros? </t>
  </si>
  <si>
    <t>Tratamento dos dados pessoais sensíveis - Crianças e adolescentes - Consentimento</t>
  </si>
  <si>
    <t>O tratamento de dados pessoais de crianças e adolescentes é realizado mediante coleta de consentimento dos pais ou responsaveis do titular ?</t>
  </si>
  <si>
    <t>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3º Poderão ser coletados dados pessoais de crianças sem o consentimento a que se refere o § 1º deste artigo quando a coleta for necessária para contatar os pais ou o responsável legal, utilizados uma única vez e sem armazenamento, ou para sua proteção, e em nenhum caso poderão ser repassados a terceiro sem o consentimento de
que trata o § 1º deste artigo.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físico-motoras, perceptivas, sensoriais, intelectuais e mentais do usuário, com uso de recursos audiovisuais quando adequado, de forma a proporcionar a informação necessária aos
pais ou ao responsável legal e adequada ao entendimento da criança.</t>
  </si>
  <si>
    <t>CAPÍTULO II - DO TRATAMENTO DE DADOS PESSOAIS - 
Seção III
Do Tratamento de Dados Pessoais de Crianças e de Adolescentes</t>
  </si>
  <si>
    <t>Não ocorre o tratamento de dados pessoais de crianças e/ou adolescentes.</t>
  </si>
  <si>
    <t>Tratamento dos dados pessoais sensíveis - Crianças e adolescentes - Procedimentos públicos</t>
  </si>
  <si>
    <t>No caso de tratamento de dados pessoais de crianças e adolescentes, o tipo de dado coletado, a forma de sua utilização e os procedimentos para exercício dos direitos do titular (criança e adolescente) estão disponíveis em canal público ?</t>
  </si>
  <si>
    <t xml:space="preserve">Art. 14
§ 2º No tratamento de dados de que trata o § 1º deste artigo, os controladores deverão manter pública a
informação sobre os tipos de dados coletados, a forma de sua utilização e os procedimentos para o exercício dos direitos
a que se refere o art. 18 desta Lei.
</t>
  </si>
  <si>
    <t>Tratamento dos dados pessoais sensíveis - Crianças e adolescentes - Jogos, aplicações de internet e outras atividades</t>
  </si>
  <si>
    <t>Dados pessoais de crianças e adolescentes são solicitadas como condição para acesso a jogos, aplicações de internet ou outras atividades além do necessário para prestação do serviço ?</t>
  </si>
  <si>
    <t>Art. 14
§ 4º Os controladores não deverão condicionar a participação dos titulares de que trata o § 1º deste artigo em jogos, aplicações de internet ou outras tividades ao fornecimento de informações pessoais além das estritamente necessárias à atividade.</t>
  </si>
  <si>
    <t>Término do Tratamento de Dados</t>
  </si>
  <si>
    <t>Existem prazos de retenção estabelecidos no inventário dos dados pessoais tratados e/ou políticas e procedimentos da organização?</t>
  </si>
  <si>
    <t>Art. 21. O término do tratamento de dados pessoais ocorrerá nas seguintes hipóteses:
I – verificação de que a finalidade foi alcançada ou de que os dados deixaram de ser necessários ou pertinentes ao alcance da finalidade específica almejada;
II – fim do período de tratamento;
III - comunicação do titular, inclusive no exercício de seu direito de revogação do consentimento conforme disposto no § 5º do art. 8º desta Lei, resguardado o interesse público; ou
IV - determinação da autoridade nacional, quando houver violação ao disposto nesta Lei.</t>
  </si>
  <si>
    <t>Necessário elaborar Política de Retenção de Dados</t>
  </si>
  <si>
    <t>Existe previsão de término do tratamento de dados pessoais em alguma das hipóteses abaixo?</t>
  </si>
  <si>
    <t>CAPÍTULO III
DOS DIREITOS DO TI TULAR</t>
  </si>
  <si>
    <t>I – verificação de que a finalidade foi alcançada ou de que os dados deixaram de ser necessários ou pertinentes ao alcance da finalidade específica almejada;</t>
  </si>
  <si>
    <t>II – fim do período de tratamento;</t>
  </si>
  <si>
    <t>III – comunicação do titular, inclusive no exercício de seu direito de revogação do consentimento conforme disposto no § 5º do art. 14 desta Lei, resguardado o interesse público; ou</t>
  </si>
  <si>
    <t>IV - determinação da autoridade nacional, quando houver violação ao disposto nesta Lei.</t>
  </si>
  <si>
    <t xml:space="preserve">Após o término do tratamento os dados pessoais são eliminados? </t>
  </si>
  <si>
    <t>Art. 16. Os dados pessoais serão eliminados após o término de seu tratamento, no âmbito e nos limites técnicos das atividades, autorizada a conservação para as seguintes finalidades:
I - cumprimento de obrigação legal ou regulatória pelo controlador;
II - estudo por órgão de pesquisa, garantida, sempre que possível, a anonimização dos dados pessoais;
III - transferência a terceiro, desde que respeitados os requisitos de tratamento de dados dispostos nesta Lei; ou
IV - uso exclusivo do controlador, vedado seu acesso por terceiro, e desde que anonimizados os dados.</t>
  </si>
  <si>
    <t>CAPÍTULO II - DO TRATAMENTO DE DADOS PESSOAIS - 
Seção IV
Do Término do Tratame nto de Dados</t>
  </si>
  <si>
    <t>Quando não eliminados, os dados pessoais são conservados para alguma das finalidades abaixo?</t>
  </si>
  <si>
    <t>I – cumprimento de obrigação legal ou regulatória pelo controlador;</t>
  </si>
  <si>
    <t>II – estudo por órgão de pesquisa, garantida, sempre que possível, a anonimização dos dados pessoais;</t>
  </si>
  <si>
    <t>III – transferência a terceiro, desde que respeitados os requisitos de tratamento de dados dispostos nesta Lei; ou</t>
  </si>
  <si>
    <t>IV – uso exclusivo do controlador, vedado seu acesso por terceiro, e desde que anonimizados os dados.</t>
  </si>
  <si>
    <t>A organização realiza a transferência de dados pessoais para outros países?</t>
  </si>
  <si>
    <t>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cláusulas-padrão contratuais;
c) normas corporativas globais;
d) selos, certificados e códigos de conduta regularmente emitidos;
III - quando a transferência for necessária para a cooperação jurídica internacional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com informação prévia sobre o caráter internacional da operação, distinguindo claramente esta de outras finalidades; ou
IX - quando necessário para atender as hipóteses previstas nos incisos II, V e VI do art. 7º desta Lei.</t>
  </si>
  <si>
    <t>CAPÍTULO V - DA TRANSFERÊNCIA INTERNAC IONAL DE DADOS</t>
  </si>
  <si>
    <t>Necessário analisar Contrato celebrado com terceiro, bem como elaborar Política de Transferência Internacional de Dados.</t>
  </si>
  <si>
    <t>Para quais países é realizada a transferência de dados pessoais?</t>
  </si>
  <si>
    <t>Estados Unidos, Reino Unido, Singapura, Alemanha, e Africa do Sul.</t>
  </si>
  <si>
    <t>Se a pergunta prinicpal for Sim
S/N</t>
  </si>
  <si>
    <t>A transferência de dados pessoais para outros países baseia-se em um dos cenários abaixo:</t>
  </si>
  <si>
    <t>I – para países ou organismos internacionais que proporcionem grau de proteção de dados pessoais adequado ao previsto nesta Lei;</t>
  </si>
  <si>
    <t>A ANPD ainda não definiu regras do nível de proteção em âmbito global.</t>
  </si>
  <si>
    <t>Pendente de definição pela ANPD.</t>
  </si>
  <si>
    <t>II – o controlador oferece e comprova garantias de cumprimento dos princípios, dos direitos do titular e do regime de proteção de dados previstos nesta Lei, na forma de:
a) cláusulas contratuais específicas para determinada transferência;
b) cláusulas-padrão contratuais;
c) normas corporativas globais;
d) selos, certificados e códigos de conduta regularmente emitidos;</t>
  </si>
  <si>
    <t>Necessário analisar Contrato celebrado com terceiro.</t>
  </si>
  <si>
    <t>III – necessária à cooperação jurídica internacional entre órgãos públicos de inteligência, de investigação e de persecução, de acordo com os instrumentos de direito internacional;</t>
  </si>
  <si>
    <t>IV – necessária à proteção da vida ou da incolumidade física do titular ou de terceiro;</t>
  </si>
  <si>
    <t>V – autorizada pela autoridade nacional;</t>
  </si>
  <si>
    <t>VI - quando a transferência resultar em compromisso assumido em acordo de cooperação internacional;</t>
  </si>
  <si>
    <t>VII – necessária à execução de política pública ou ao cumprimento de atribuição legal do serviço público, sendo dada publicidade nos termos do inciso I do caput do art. 23 desta Lei;</t>
  </si>
  <si>
    <t>VIII – o titular forneceu consentimento específico e em destaque, com informação prévia sobre o caráter internacional da operação, distinguindo claramente esta de outras finalidades;</t>
  </si>
  <si>
    <t>Agentes de tratamento de dados</t>
  </si>
  <si>
    <t>Existe um processo estabelecido pelo controlador para verificar o tratamento realizado pelo operador ? O tratamento realizado respeita e limita-se as instruções repassadas pelo controlador ?</t>
  </si>
  <si>
    <t>Art. 39. O operador deverá realizar o tratamento segundo as instruções fornecidas pelo controlador, que verificará a observância das próprias instruções e das normas sobre a matéria.</t>
  </si>
  <si>
    <t>Implementar processo de gestão de terceiros</t>
  </si>
  <si>
    <t>O tratamento realizado respeita e limita-se as instruções repassadas pelo controlador?</t>
  </si>
  <si>
    <t>Inexiste procedimento para gestão de terceiros.</t>
  </si>
  <si>
    <t>DPO</t>
  </si>
  <si>
    <t xml:space="preserve">O DPO (encarregado pelo tratamento de dados pessoais) foi nomeado? </t>
  </si>
  <si>
    <t>Art. 41. O controlador deverá indicar encarregado pelo tratamento de dados pessoais.
§ 1º A identidade e as informações de contato do encarregado deverão ser divulgadas publicamente, de forma clara e objetiva, preferencialmente no sítio eletrônico do controlador.</t>
  </si>
  <si>
    <t>CAPÍTULO VI - DOS AGENTES DE TRATAMENTO D E DADOS PESSOAIS
Seção II
Do Encarregado pelo Tratamen to de Dados Pessoais</t>
  </si>
  <si>
    <t>Validar se o DPO no ambito internacional será o mesmo do Brasil.</t>
  </si>
  <si>
    <t>As informações de contato do DPO foram divulgadas publicamente (ex. site)?</t>
  </si>
  <si>
    <t>Publicar informação</t>
  </si>
  <si>
    <t>Os papéis e responsabilidade do DPO está definidos e documentados e contemplam, no mínimo, as responsabilidades descritas abaixo:
I – receber reclamações e comunicações dos titulares, prestar esclarecimentos e adotar providências;
II – receber comunicações da autoridade nacional e adotar providências;
III – orientar os funcionários e os contratados da entidade a respeito das práticas a serem adotadas em relação à proteção de dados pessoais;
IV – executar as demais atribuições determinadas pelo controlador ou estabelecidas em normas complementares.</t>
  </si>
  <si>
    <t xml:space="preserve">Art. 41. O controlador deverá indicar encarregado pelo tratamento de dados pessoais.
§ 2º As atividades do encarregado consistem em:
I - aceitar reclamações e comunicações dos titulares, prestar esclarecimentos e adotar providências;
II - receber comunicações da autoridade nacional e adotar providências;
III - orientar os funcionários e os contratados da entidade a respeito das práticas a serem tomadas em relação à proteção de dados pessoais; e
IV - executar as demais atribuições determinadas pelo controlador ou estabelecidas em normas complementares.
</t>
  </si>
  <si>
    <t>Elaboração de Normas para a função do DPO.</t>
  </si>
  <si>
    <t>Segurança da Informação</t>
  </si>
  <si>
    <t>Os dados pessoais estão armazenados em sistemas com controles de acesso?</t>
  </si>
  <si>
    <t>Art. 46. Os agentes de tratamento devem adotar medidas de segurança, técnicas e administrativas aptas a proteger os dados pessoais de acessos não autorizados e de situações acidentais ou ilícitas de destruição, perda, alteração, comunicação ou qualquer forma de tratamento inadequado ou ilícito.</t>
  </si>
  <si>
    <t>CAPÍTULO VII - DA SEGURANÇA E DAS BOA S PRÁTICAS
Seção I
Da Segurança e do Sig ilo de Dados</t>
  </si>
  <si>
    <t xml:space="preserve">Os acessos são revisados periodicamente? </t>
  </si>
  <si>
    <t>Como os acessos são concedidos e revogados?</t>
  </si>
  <si>
    <t>Os dados pessoais são submetidos a processo de backup periódico?</t>
  </si>
  <si>
    <t>Os dados pessoais são parte do Plano de Continuidade de Negócios e Disaster Recovery Plan da organização?</t>
  </si>
  <si>
    <t>Os dados pessoais são protegidos por técnicas e processos que previnem sua alteração e perda de integridade ?</t>
  </si>
  <si>
    <t>Se a pergunta prinicpal for Sim</t>
  </si>
  <si>
    <t>Quais técnicas e processos que previnem a alteração e perda de integridade de dados pessoais são utilizadas?</t>
  </si>
  <si>
    <t>Os dados pessoais são protegidos por criptografia ?</t>
  </si>
  <si>
    <t xml:space="preserve">Existe um processo estabelecido pelo controlador para verificar que o operador possui processos de segurança da informação (controle de acesso, backup, PCN, DRP, criptografia) para garantir a proteção dos dados ? </t>
  </si>
  <si>
    <t>Art. 47. O agente de tratamento ou qualquer outra pessoa que intervenha em uma das fases do tratamento obriga-se a garantir, mesmo após o seu término, a segurança da informação prevista nesta Lei em relação aos dados pessoais.</t>
  </si>
  <si>
    <t>Gestão de Incidentes de Privacidade</t>
  </si>
  <si>
    <t>Existe um processo para identificação de incidentes de segurança da informação e privacidade?</t>
  </si>
  <si>
    <t>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t>
  </si>
  <si>
    <t>Elaborar um Plano de Gestão de Incidentes.</t>
  </si>
  <si>
    <t>O processo para identificação de incidentes de segurança da informação e privacidade está documento?</t>
  </si>
  <si>
    <t>Existe uma notificação padrão de incidentes para a Autoridade Nacional que inclui:
I – a descrição da natureza dos dados pessoais afetados;
II – as informações sobre os titulares envolvidos;
III – 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incidente.</t>
  </si>
  <si>
    <t>Estratégia de privacidade</t>
  </si>
  <si>
    <t>Existe um programa de governança em privacidade na organização?</t>
  </si>
  <si>
    <t>Necessário implementar programa de governança em privacidade na organização.</t>
  </si>
  <si>
    <t>Programa de Governança em Privacidade</t>
  </si>
  <si>
    <t>O programa de governança em privacidade que possui alguma das seguintes características:</t>
  </si>
  <si>
    <t>Art. 50.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a) demonstre o comprometimento do controlador em adotar processos e políticas internas que assegurem o cumprimento, de forma abrangente, de normas e boas práticas relativas à proteção de dados pessoais;
b) seja aplicável a todo o conjunto de dados pessoais que estejam sob seu controle, independentemente do modo como se realizou sua coleta;
c) seja adaptado à estrutura, à escala e ao volume de suas operações, bem como à sensibilidade dos dados tratados;
d) estabeleça políticas e salvaguardas adequadas com base em processo de avaliação sistemática de impactos e riscos à privacidade;
e) tenha o objetivo de estabelecer relação de confiança com o titular, por meio de atuação transparente e que assegure mecanismos de participação do titular;
f) esteja integrado a sua estrutura geral de governança e estabeleça e aplique mecanismos de supervisão internos e externos;
g) conte com planos de resposta a incidentes e remediação; e 
h) seja atualizado constantemente com base em informações obtidas a partir de monitoramento contínuo e avaliações periódicas;</t>
  </si>
  <si>
    <t>CAPÍTULO VII - DA SEGURANÇA E DAS BOA S PRÁTICAS
Seção II
Das Boas Práticas e da Governança</t>
  </si>
  <si>
    <t>Não existe programa de governança em privacidade</t>
  </si>
  <si>
    <t>Políticas, normas e boas práticas de proteção de dados;</t>
  </si>
  <si>
    <t>Processo de avaliação sistemática de impactos e riscos a privacidade;</t>
  </si>
  <si>
    <t>Integração com a estrutura geral de governança;</t>
  </si>
  <si>
    <t>Mecanismos de supervisão interno e externo;</t>
  </si>
  <si>
    <t>Planos de resposta a incidentes e remediação;</t>
  </si>
  <si>
    <t>Aprimoramento e monitoramento contínuo.</t>
  </si>
  <si>
    <t>Como a organização demonstra a efetividade do programa de governança em privacidade (auditorias, relatórios, parecer independente, selos, comitês dentre outros) ?</t>
  </si>
  <si>
    <t>Art. 50
II - demonstrar a efetividade de seu programa de governança em privacidade quando apropriado e, em especial, a pedido da autoridade nacional ou de outra entidade responsável por promover o cumprimento de boas práticas ou códigos de conduta, os quais, de forma independente, promovam o cumprimento desta Lei.</t>
  </si>
  <si>
    <t>Inexiste Programa de Governança.</t>
  </si>
  <si>
    <t>Tratamento de dados pessoais - poder público</t>
  </si>
  <si>
    <t>Os dados pessoas tratados pelo orgão público baseia-se em uma das situações abaixo:
I – informadas as hipóteses em que realizam o tratamento de dados pessoais, fornecendo informações claras e atualizadas sobre a previsão legal, a finalidade, os procedimentos e as práticas utilizadas para a execução dessas atividades, em veículos de fácil acesso, preferencialmente em seus sítios eletrônicos;
II – protegidos e preservados dados pessoais de requerentes de acesso à informação, nos termos da Lei nº 12.527, de 18 de novembro de 2011 (Lei de Acesso à Informação), vedado seu compartilhamento no âmbito do Poder Público e com pessoas jurídicas de direito privado;</t>
  </si>
  <si>
    <t>Art. 23. O tratamento de dados pessoais pelas pessoas jurídicas de direito público referidas no parágrafo único do art. 1º da Lei nº 12.527, de 18 de novembro de 2011 (Lei de Acesso à Informação), deverá ser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fornecendo informações claras e atualizadas sobre a previsão legal, a finalidade, os procedimentos e as práticas utilizadas para a execução dessas atividades, em veículos de fácil acesso, preferencialmente em seus sítios
eletrônicos;
II - (VETADO); e</t>
  </si>
  <si>
    <t>CAPÍTULO IV - DO TRATAMENTO DE DADOS PESSOAI S PELO PODER PÚBLICO
Seção I
Das Regras</t>
  </si>
  <si>
    <t>O orgão público nomeou um DPO ?</t>
  </si>
  <si>
    <t>Art. 23
III - seja indicado um encarregado quando realizarem operações de tratamento de dados pessoais, nos termos do art. 39 desta Lei.</t>
  </si>
  <si>
    <t>Qual o formato (interoperável e estruturado para uso compartilhado) dos dados pessoais tratados pelo Pode Público ?</t>
  </si>
  <si>
    <t>Art. 25. Os dados deverão ser mantidos em formato interoperável e estruturado para o uso compartilhado, com vistas à execução de políticas públicas, à prestação de serviços públicos, à descentralização da atividade pública e à disseminação e ao acesso das informações pelo público em geral</t>
  </si>
  <si>
    <t>CAPÍTULO IV DO TRATAMENTO DE DADOS PESSOAIS PELO PODER PÚBLICO
Seção I Das Regras</t>
  </si>
  <si>
    <t>O uso compartilhado dos dados pessoas pelo Poder Público atendem as finalidades específicas de execução de políticas públicas e atribuição legal ?</t>
  </si>
  <si>
    <t>Art. 26. O uso compartilhado de dados pessoais pelo Poder Público deve atender a finalidades específicas de execução de políticas públicas e atribuição legal pelos órgãos e pelas entidades públicas, respeitados os princípios de proteção de dados pessoais elencados no art. 6º desta Lei.</t>
  </si>
  <si>
    <t>Os dados pessoais tratados pelo Poder Público são transferidos para entidades privadas ? Em caso afirmativo, a transferência baseia-se em uma das situações abaixo:
I – em casos de execução descentralizada de atividade pública que exija a transferência, exclusivamente para esse fim específico e determinado, observado o disposto na Lei nº 12.527, de 18 de novembro de 2011 (Lei de Acesso à Informação);
II – quando houver previsão legal, e a transferência for respaldada em contratos, convênios ou instrumentos congêneres;
III – nos casos em que os dados forem acessíveis publicamente, observadas as disposições desta Lei.</t>
  </si>
  <si>
    <t xml:space="preserve">Art. 26 
§ 1º É vedado ao Poder Público transferir a entidades privadas dados pessoais constantes de bases de dados a que tenha acesso, exceto:
I - fim específico e determinado, observado o disposto na Lei nº 12.527, de 18 de novembro de 2011 (Lei de Acesso à  Informação);
II - (VETADO);
III - nos casos em que os dados forem acessíveis publicamente, observadas as disposições desta Lei.
</t>
  </si>
  <si>
    <t>Os contratos, convêniors e intrumentos congêneres são comunicados a autoridade nacional ?</t>
  </si>
  <si>
    <t>Art. 26 
§ 2º Os contratos e convênios de que trata o § 1º deste artigo deverão ser comunicados à autoridade nacional.</t>
  </si>
  <si>
    <t>A comunicação de dados pessoais de pessoa jurídica de direito público a pessoa de direito privado, bem como o uso compartilhado desses dados, são informados à autoridade nacional e baseiam-se em consentimento do titular ? Em caso negativo, aplica-se uma das situações abaixo:
I – dispensa de consentimento previstas nesta Lei;
II – uso compartilhado de dados, em que será dada publicidade nos termos do inciso I do caput do art. 23 desta Lei;
III – nos casos previstos nos incisos I, II e III do § 1º do art. 26 desta Lei.</t>
  </si>
  <si>
    <t xml:space="preserve">Art. 27. A comunicação ou o uso compartilhado de dados pessoais de pessoa jurídica de direito público a pessoa de direito privado será informado à autoridade nacional e dependerá de consentimento do titular, exceto: 
I - nas hipóteses de dispensa de consentimento previstas nesta Lei;
II - nos casos de uso compartilhado de dados, em que será dada publicidade nos termos do inciso I do caput do art. 23 desta Lei; ou
III - nas exceções constantes do § 1º do art. 26 desta Lei.
</t>
  </si>
  <si>
    <t xml:space="preserve">Não aplicável a realidade da Empresa Beta </t>
  </si>
  <si>
    <t>Analítico</t>
  </si>
  <si>
    <t>Aderente</t>
  </si>
  <si>
    <t>Exigência</t>
  </si>
  <si>
    <t>Adesão</t>
  </si>
  <si>
    <t>Existência de processo</t>
  </si>
  <si>
    <t>Considera 10 princípios da boa-fé</t>
  </si>
  <si>
    <t>Nomeação do DPO e divulgação</t>
  </si>
  <si>
    <t>Processo documentado</t>
  </si>
  <si>
    <t>Definição de responsabilidades</t>
  </si>
  <si>
    <t>Geração de relatório de impacto</t>
  </si>
  <si>
    <t>Programa de governança em privacidade</t>
  </si>
  <si>
    <t>Existência de processo de emissão de requisição</t>
  </si>
  <si>
    <t>Usuário possui detalhes da forma de tratamento dos dados</t>
  </si>
  <si>
    <t>Existência do programa</t>
  </si>
  <si>
    <t>Processo de resposta impresso/eletrônico</t>
  </si>
  <si>
    <t>Existência do processo e documentação</t>
  </si>
  <si>
    <t>Demonstração de efetividade</t>
  </si>
  <si>
    <t>Existência de processo de resposta</t>
  </si>
  <si>
    <t>O processo aciona todas as empresas com as quais os dados foram compartilhados</t>
  </si>
  <si>
    <t>Término do tratamento de dados</t>
  </si>
  <si>
    <t>Existência de decisões baseadas em tratamentos automatizados</t>
  </si>
  <si>
    <t>Considera os 10 princípios da boa-fé</t>
  </si>
  <si>
    <t>Existência de prazo de retenção</t>
  </si>
  <si>
    <t xml:space="preserve">Existência de dados pessoais com prazo de retenção indeterminado </t>
  </si>
  <si>
    <t>Dados armazenados em sistemas com controle de acesso/Revisão de acesso</t>
  </si>
  <si>
    <t>Tratamento de Dados Pessoais - Compartilhamento de dados</t>
  </si>
  <si>
    <t>Backup periódico de dados pessoais/PCN e DRP</t>
  </si>
  <si>
    <t>Dados pessoais protegidos por técnicas e processos que previnem sua alteração e perda de integridade</t>
  </si>
  <si>
    <t>Dados pessoais transferidos para outros países</t>
  </si>
  <si>
    <t>Informação ao titular sobre compartilhamento de dados com outros controladores</t>
  </si>
  <si>
    <t>Dados pessoais protegidos por criptografia</t>
  </si>
  <si>
    <t>Processo que garante que o operador possua processos de segurança da informação</t>
  </si>
  <si>
    <t>Tratamento de Dados Pessoais - Legitimação de uso de dados</t>
  </si>
  <si>
    <t>Tratamento de Dados Pessoais - Obtenção de Consentimento</t>
  </si>
  <si>
    <t>Tratamento de Dados Pessoais - Dados Públicos</t>
  </si>
  <si>
    <t>Possui inventário de dados pessoais</t>
  </si>
  <si>
    <t>Obtido de forma livre</t>
  </si>
  <si>
    <t>Uso de legítimo interesse limitado</t>
  </si>
  <si>
    <t>Considera a finalidade, boa-fé e interesse público</t>
  </si>
  <si>
    <t>Documentação pelo controlador e operador</t>
  </si>
  <si>
    <t>Tratamento de Dados Pessoais - Revogação de Consentimento</t>
  </si>
  <si>
    <t>Tratamento de Dados Pessoais - Atualização de Consentimento</t>
  </si>
  <si>
    <t>Revogação a qualquer momento</t>
  </si>
  <si>
    <t>Tratamento de Dados Pessoais - Tratamento de dados obrigatório</t>
  </si>
  <si>
    <t>Existência do processo</t>
  </si>
  <si>
    <t>Tratamento de Dados Pessoais - Poder Públicos</t>
  </si>
  <si>
    <t xml:space="preserve">Condição obrigatória </t>
  </si>
  <si>
    <t>Tratamento de Dados Pessoais Sensíveis - Sem Consentimento</t>
  </si>
  <si>
    <t>Dados coletados necessários</t>
  </si>
  <si>
    <t>Tratamento de Dados Pessoais Sensíveis - Anonimização</t>
  </si>
  <si>
    <t>DPO nomeado por órgão público</t>
  </si>
  <si>
    <t>Tratamento de dados sensíveis limitado às condições impostas</t>
  </si>
  <si>
    <t>Formato interoperável e estruturado de dados</t>
  </si>
  <si>
    <t>Dados sensíveis são anonimizados</t>
  </si>
  <si>
    <t>Uso compartilhado de dados pessoais atende finalidades específicas</t>
  </si>
  <si>
    <t>Tratamento de Dados Pessoais Sensíveis - Compartilhamento entre controladores</t>
  </si>
  <si>
    <t xml:space="preserve">Transferência de dados para empresas privadas </t>
  </si>
  <si>
    <t>Tratamento de Dados Pessoais Sensíveis - Consentimento</t>
  </si>
  <si>
    <t>Contratos, convênios e instrumentos congêneres são comunicados à autoridade nacional</t>
  </si>
  <si>
    <t>Existe compartilhamento com outros controladores</t>
  </si>
  <si>
    <t>Comunicação de dados pessoais de PJ de direito público à pessoa de direito privado é informado à autoridade nacional</t>
  </si>
  <si>
    <t>Consentimento específico e destacado</t>
  </si>
  <si>
    <t>Tratamento de Dados Pessoais Sensíveis - Estudos e Pesquisa de Saúde Pública</t>
  </si>
  <si>
    <t>Tratamento de Dados Pessoais Sensíveis - Crianças e Adolescentes</t>
  </si>
  <si>
    <t>Os dados são tratados para realizar a pesquisa</t>
  </si>
  <si>
    <t>Tratamento de dados mediante coleta de consentimento do responsável</t>
  </si>
  <si>
    <t>Direitos do titular em canal público</t>
  </si>
  <si>
    <t>Não obrigatoriedade de dados pessoais para prestação de serviço/acesso</t>
  </si>
  <si>
    <t>Tópico</t>
  </si>
  <si>
    <t>Andamento</t>
  </si>
  <si>
    <t>Aderência Total à LGPD</t>
  </si>
  <si>
    <t>Não Aderente</t>
  </si>
  <si>
    <t>Parcialmente Aderente</t>
  </si>
  <si>
    <t>Tratamento dos dados pessoais - Obtenção do Consentimento</t>
  </si>
  <si>
    <t>Tratamento dos dados pessoais - Revogação do Consentimento</t>
  </si>
  <si>
    <t>Tratamento dos dados pessoais sensíveis - Consentimento</t>
  </si>
  <si>
    <t>Tratamento dos dados pessoais sensíveis - Anonimização</t>
  </si>
  <si>
    <t>Tratamento dos dados pessoais sensíveis - Sem consentimento</t>
  </si>
  <si>
    <t>Tratamento dos dados pessoais sensíveis - Crianças e adolescentes</t>
  </si>
  <si>
    <t>inexiste procedimento de nomeação do Encarregado</t>
  </si>
  <si>
    <t>Empresa Beta</t>
  </si>
  <si>
    <t xml:space="preserve">Recomenda-se revisar e auditar periodicamente os acessos para evitar que possíveis falhas deste controle resultem em incidentes de SI e de dados. </t>
  </si>
  <si>
    <t xml:space="preserve">Estabelecer e aplicar uma política de liberação e revogação de acessos, se possível centralizada.  </t>
  </si>
  <si>
    <t>Sim, mas está em processo de revisão</t>
  </si>
  <si>
    <t xml:space="preserve">Não, não há Plano de Continuidade de Negócios formalmente aplicado. </t>
  </si>
  <si>
    <t xml:space="preserve">Não, não há  criptografia, cultura/processo de gestão de incidentes, análise de vulnerabilidades ou  monitoramento, nem práticas de testes de intrusão periódicos. </t>
  </si>
  <si>
    <t xml:space="preserve">Incluir procedimento de criptografia em dados sensiveis. Incluir práticas de gestão de incidentes e monitoramento de acessos anômalos. </t>
  </si>
  <si>
    <t>Não Possui</t>
  </si>
  <si>
    <t>Definir uma Política de Classificação, rotulagem e manuseio seguro da informação</t>
  </si>
  <si>
    <t>Implementar estratégia de criptografia e/ou hash de verificação de acordo com a sensibilidade da informação.</t>
  </si>
  <si>
    <t>Implementar política de segurança e avaliação de riscos em terceiros.</t>
  </si>
  <si>
    <t>A concessão/revogação de acessos não é centralizada, sendo que parte dos acesos são administrados pela equipe de TI, parte  está sob a responsabilidade do RH.</t>
  </si>
  <si>
    <t>Rever a estratégia de backup com criptografia e isolamento do armazenamento (offline) para evitar que um ransomware por exemplo afete inclusive os backups e ocorra a perda de dados.  
Prever que ao menos uma cópia seja armazenada externamente. 
Assegurar que os fornecedores de soluções/sistemas que também realizam os respectivos backups, estejam em conformidade com a Política de Backup da Empresa.</t>
  </si>
  <si>
    <t>Desenvolver um plano de continuidade de negócios e disaster recovery adequado a Empresa.</t>
  </si>
  <si>
    <t>Obs: Alguns campos não precisam ser preenchidos em caso de Instituições Públicas</t>
  </si>
  <si>
    <t>Ex.: Lucro estimado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</si>
</sst>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31" x14ac:knownFonts="1">
    <font>
      <sz val="12"/>
      <color theme="1"/>
      <name val="Calibri"/>
      <family val="2"/>
      <scheme val="minor"/>
    </font>
    <font>
      <b/>
      <i/>
      <sz val="15"/>
      <color theme="0"/>
      <name val="Calibri Light"/>
      <family val="2"/>
      <scheme val="major"/>
    </font>
    <font>
      <sz val="11"/>
      <color theme="1"/>
      <name val="Calibri Light"/>
      <family val="2"/>
      <scheme val="major"/>
    </font>
    <font>
      <b/>
      <sz val="10"/>
      <color theme="0"/>
      <name val="Calibri Light"/>
      <family val="2"/>
      <scheme val="major"/>
    </font>
    <font>
      <b/>
      <sz val="9"/>
      <color theme="3" tint="-0.499984740745262"/>
      <name val="Calibri Light"/>
      <family val="2"/>
      <scheme val="major"/>
    </font>
    <font>
      <b/>
      <sz val="10"/>
      <color theme="4" tint="-0.249977111117893"/>
      <name val="Calibri Light"/>
      <family val="2"/>
      <scheme val="major"/>
    </font>
    <font>
      <b/>
      <sz val="10"/>
      <name val="Calibri Light"/>
      <family val="2"/>
      <scheme val="major"/>
    </font>
    <font>
      <b/>
      <sz val="8"/>
      <color theme="1"/>
      <name val="Calibri Light"/>
      <family val="2"/>
      <scheme val="major"/>
    </font>
    <font>
      <u/>
      <sz val="10"/>
      <color indexed="62"/>
      <name val="Arial"/>
      <family val="2"/>
    </font>
    <font>
      <sz val="8"/>
      <color theme="1"/>
      <name val="Calibri Light"/>
      <family val="2"/>
      <scheme val="major"/>
    </font>
    <font>
      <sz val="10"/>
      <color theme="1"/>
      <name val="Calibri Light"/>
      <family val="2"/>
      <scheme val="major"/>
    </font>
    <font>
      <b/>
      <sz val="10"/>
      <color theme="1"/>
      <name val="Calibri Light"/>
      <family val="2"/>
      <scheme val="major"/>
    </font>
    <font>
      <b/>
      <u/>
      <sz val="10"/>
      <color rgb="FFC00000"/>
      <name val="Calibri Light"/>
      <family val="2"/>
      <scheme val="major"/>
    </font>
    <font>
      <sz val="10"/>
      <color rgb="FFFF0000"/>
      <name val="Calibri Light"/>
      <family val="2"/>
      <scheme val="major"/>
    </font>
    <font>
      <sz val="10"/>
      <color theme="1"/>
      <name val="Arial"/>
      <family val="2"/>
    </font>
    <font>
      <b/>
      <i/>
      <sz val="15"/>
      <color theme="0"/>
      <name val="Georgia"/>
      <family val="1"/>
    </font>
    <font>
      <b/>
      <sz val="10"/>
      <color rgb="FFFF0000"/>
      <name val="Calibri Light"/>
      <family val="2"/>
      <scheme val="major"/>
    </font>
    <font>
      <sz val="10"/>
      <name val="Calibri Light"/>
      <family val="2"/>
      <scheme val="major"/>
    </font>
    <font>
      <sz val="10"/>
      <color theme="1"/>
      <name val="Calibri Light"/>
      <family val="2"/>
    </font>
    <font>
      <strike/>
      <sz val="10"/>
      <name val="Calibri Light"/>
      <family val="2"/>
      <scheme val="major"/>
    </font>
    <font>
      <sz val="10"/>
      <color rgb="FF000000"/>
      <name val="Calibri Light"/>
      <family val="2"/>
    </font>
    <font>
      <sz val="10"/>
      <name val="Calibri"/>
      <family val="2"/>
    </font>
    <font>
      <sz val="10"/>
      <color theme="1"/>
      <name val="Calibri"/>
      <family val="2"/>
    </font>
    <font>
      <sz val="10"/>
      <color rgb="FFFF0000"/>
      <name val="Arial"/>
      <family val="2"/>
    </font>
    <font>
      <sz val="11"/>
      <name val="Calibri Light"/>
      <family val="2"/>
      <scheme val="major"/>
    </font>
    <font>
      <b/>
      <sz val="11"/>
      <color theme="0"/>
      <name val="Calibri Light"/>
      <family val="2"/>
      <scheme val="major"/>
    </font>
    <font>
      <sz val="11"/>
      <color theme="0"/>
      <name val="Calibri Light"/>
      <family val="2"/>
      <scheme val="major"/>
    </font>
    <font>
      <b/>
      <sz val="11"/>
      <name val="Calibri Light"/>
      <family val="2"/>
      <scheme val="major"/>
    </font>
    <font>
      <sz val="11"/>
      <color rgb="FFFF0000"/>
      <name val="Calibri Light"/>
      <family val="2"/>
      <scheme val="major"/>
    </font>
    <font>
      <sz val="10"/>
      <color theme="1"/>
      <name val="Lato Regular"/>
    </font>
    <font>
      <b/>
      <sz val="11"/>
      <color theme="1"/>
      <name val="Calibri Light"/>
      <family val="2"/>
      <scheme val="major"/>
    </font>
  </fonts>
  <fills count="8">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0"/>
        <bgColor indexed="64"/>
      </patternFill>
    </fill>
    <fill>
      <patternFill patternType="solid">
        <fgColor theme="3"/>
        <bgColor indexed="64"/>
      </patternFill>
    </fill>
    <fill>
      <patternFill patternType="solid">
        <fgColor theme="4" tint="0.79998168889431442"/>
        <bgColor indexed="64"/>
      </patternFill>
    </fill>
    <fill>
      <patternFill patternType="solid">
        <fgColor theme="0" tint="-0.14999847407452621"/>
        <bgColor indexed="64"/>
      </patternFill>
    </fill>
  </fills>
  <borders count="1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top/>
      <bottom style="thin">
        <color theme="0" tint="-0.34998626667073579"/>
      </bottom>
      <diagonal/>
    </border>
    <border>
      <left style="thin">
        <color theme="0" tint="-0.34998626667073579"/>
      </left>
      <right/>
      <top style="thin">
        <color theme="0" tint="-0.34998626667073579"/>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alignment vertical="top"/>
      <protection locked="0"/>
    </xf>
  </cellStyleXfs>
  <cellXfs count="151">
    <xf numFmtId="0" fontId="0" fillId="0" borderId="0" xfId="0"/>
    <xf numFmtId="0" fontId="2" fillId="0" borderId="0" xfId="0" applyFont="1"/>
    <xf numFmtId="0" fontId="4" fillId="0" borderId="1" xfId="0" applyFont="1" applyBorder="1" applyAlignment="1">
      <alignment vertical="center" wrapText="1"/>
    </xf>
    <xf numFmtId="0" fontId="7" fillId="3" borderId="1" xfId="0" applyFont="1" applyFill="1" applyBorder="1" applyAlignment="1">
      <alignment horizontal="left" vertical="center" wrapText="1" indent="1"/>
    </xf>
    <xf numFmtId="0" fontId="7" fillId="3" borderId="5" xfId="0" applyFont="1" applyFill="1" applyBorder="1" applyAlignment="1">
      <alignment horizontal="left" vertical="center" wrapText="1" indent="1"/>
    </xf>
    <xf numFmtId="0" fontId="7" fillId="3" borderId="6" xfId="0" applyFont="1" applyFill="1" applyBorder="1" applyAlignment="1">
      <alignment horizontal="left" vertical="center" wrapText="1" indent="1"/>
    </xf>
    <xf numFmtId="0" fontId="10" fillId="0" borderId="0" xfId="0" applyFont="1" applyAlignment="1">
      <alignment vertical="center" wrapText="1"/>
    </xf>
    <xf numFmtId="0" fontId="10" fillId="0" borderId="0" xfId="0" applyFont="1"/>
    <xf numFmtId="0" fontId="11" fillId="0" borderId="0" xfId="0" applyFont="1"/>
    <xf numFmtId="0" fontId="10" fillId="0" borderId="0" xfId="0" applyFont="1" applyAlignment="1">
      <alignment vertical="center"/>
    </xf>
    <xf numFmtId="0" fontId="10" fillId="0" borderId="0" xfId="0" applyFont="1" applyAlignment="1">
      <alignment horizontal="left" vertical="center" indent="5"/>
    </xf>
    <xf numFmtId="0" fontId="10" fillId="0" borderId="0" xfId="0" applyFont="1" applyAlignment="1">
      <alignment horizontal="center" vertical="center"/>
    </xf>
    <xf numFmtId="0" fontId="13" fillId="0" borderId="0" xfId="0" applyFont="1" applyAlignment="1">
      <alignment vertical="center" wrapText="1"/>
    </xf>
    <xf numFmtId="0" fontId="10" fillId="0" borderId="0" xfId="0" applyFont="1" applyAlignment="1">
      <alignment vertical="top"/>
    </xf>
    <xf numFmtId="0" fontId="10" fillId="0" borderId="0" xfId="0" applyFont="1" applyAlignment="1">
      <alignment horizontal="center" vertical="center" wrapText="1"/>
    </xf>
    <xf numFmtId="0" fontId="10" fillId="4" borderId="0" xfId="0" applyFont="1" applyFill="1" applyAlignment="1">
      <alignment vertical="center"/>
    </xf>
    <xf numFmtId="0" fontId="14" fillId="4" borderId="0" xfId="0" applyFont="1" applyFill="1" applyAlignment="1">
      <alignment vertical="center"/>
    </xf>
    <xf numFmtId="0" fontId="14" fillId="0" borderId="0" xfId="0" applyFont="1" applyAlignment="1">
      <alignment vertical="center"/>
    </xf>
    <xf numFmtId="0" fontId="1" fillId="4" borderId="0" xfId="0" applyFont="1" applyFill="1" applyAlignment="1">
      <alignment vertical="center"/>
    </xf>
    <xf numFmtId="0" fontId="15" fillId="4" borderId="0" xfId="0" applyFont="1" applyFill="1" applyAlignment="1">
      <alignment vertical="center"/>
    </xf>
    <xf numFmtId="0" fontId="3" fillId="4" borderId="0" xfId="0" applyFont="1" applyFill="1" applyAlignment="1">
      <alignment horizontal="center" vertical="center"/>
    </xf>
    <xf numFmtId="0" fontId="3" fillId="4" borderId="0" xfId="0" applyFont="1" applyFill="1" applyAlignment="1">
      <alignment horizontal="left" vertical="center" wrapText="1"/>
    </xf>
    <xf numFmtId="0" fontId="16" fillId="4" borderId="0" xfId="0" applyFont="1" applyFill="1" applyAlignment="1">
      <alignment horizontal="left" vertical="center" wrapText="1"/>
    </xf>
    <xf numFmtId="0" fontId="3" fillId="4" borderId="0" xfId="0" applyFont="1" applyFill="1" applyAlignment="1">
      <alignment horizontal="left" vertical="center"/>
    </xf>
    <xf numFmtId="0" fontId="3" fillId="4" borderId="0" xfId="0" applyFont="1" applyFill="1" applyAlignment="1">
      <alignment horizontal="left" vertical="top"/>
    </xf>
    <xf numFmtId="0" fontId="3" fillId="4" borderId="0" xfId="0" applyFont="1" applyFill="1" applyAlignment="1">
      <alignment horizontal="center" vertical="center" wrapText="1"/>
    </xf>
    <xf numFmtId="0" fontId="3" fillId="5" borderId="7" xfId="0" applyFont="1" applyFill="1" applyBorder="1" applyAlignment="1">
      <alignment horizontal="center" vertical="center" wrapText="1"/>
    </xf>
    <xf numFmtId="0" fontId="3" fillId="5" borderId="7" xfId="0" applyFont="1" applyFill="1" applyBorder="1" applyAlignment="1">
      <alignment horizontal="left" vertical="center" wrapText="1"/>
    </xf>
    <xf numFmtId="0" fontId="3" fillId="5" borderId="8" xfId="0" applyFont="1" applyFill="1" applyBorder="1" applyAlignment="1">
      <alignment horizontal="left" vertical="center" wrapText="1"/>
    </xf>
    <xf numFmtId="0" fontId="3" fillId="5" borderId="7" xfId="0" applyFont="1" applyFill="1" applyBorder="1" applyAlignment="1">
      <alignment horizontal="left" vertical="top" wrapText="1"/>
    </xf>
    <xf numFmtId="0" fontId="3" fillId="5" borderId="8" xfId="0" applyFont="1" applyFill="1" applyBorder="1" applyAlignment="1">
      <alignment horizontal="left" vertical="top" wrapText="1"/>
    </xf>
    <xf numFmtId="0" fontId="3" fillId="5" borderId="8"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13" fillId="0" borderId="0" xfId="0" applyFont="1" applyAlignment="1">
      <alignment vertical="center"/>
    </xf>
    <xf numFmtId="0" fontId="16" fillId="6" borderId="7" xfId="0" applyFont="1" applyFill="1" applyBorder="1" applyAlignment="1">
      <alignment horizontal="center" vertical="center" wrapText="1"/>
    </xf>
    <xf numFmtId="0" fontId="16" fillId="6" borderId="7" xfId="0" applyFont="1" applyFill="1" applyBorder="1" applyAlignment="1">
      <alignment horizontal="left" vertical="center" wrapText="1"/>
    </xf>
    <xf numFmtId="0" fontId="16" fillId="6" borderId="8" xfId="0" applyFont="1" applyFill="1" applyBorder="1" applyAlignment="1">
      <alignment horizontal="left" vertical="center" wrapText="1"/>
    </xf>
    <xf numFmtId="0" fontId="16" fillId="6" borderId="7" xfId="0" applyFont="1" applyFill="1" applyBorder="1" applyAlignment="1">
      <alignment horizontal="left" vertical="top" wrapText="1"/>
    </xf>
    <xf numFmtId="0" fontId="16" fillId="6" borderId="8" xfId="0" applyFont="1" applyFill="1" applyBorder="1" applyAlignment="1">
      <alignment horizontal="left" vertical="top" wrapText="1"/>
    </xf>
    <xf numFmtId="0" fontId="3" fillId="6" borderId="8"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17" fillId="0" borderId="0" xfId="0" applyFont="1" applyAlignment="1">
      <alignment vertical="center"/>
    </xf>
    <xf numFmtId="1" fontId="17" fillId="7" borderId="7" xfId="0" applyNumberFormat="1" applyFont="1" applyFill="1" applyBorder="1" applyAlignment="1">
      <alignment horizontal="center" vertical="center"/>
    </xf>
    <xf numFmtId="0" fontId="6" fillId="7" borderId="7" xfId="0" applyFont="1" applyFill="1" applyBorder="1" applyAlignment="1">
      <alignment horizontal="left" vertical="center" wrapText="1"/>
    </xf>
    <xf numFmtId="0" fontId="17" fillId="7" borderId="7" xfId="0" applyFont="1" applyFill="1" applyBorder="1" applyAlignment="1">
      <alignment horizontal="center" vertical="center" wrapText="1"/>
    </xf>
    <xf numFmtId="0" fontId="17" fillId="0" borderId="7" xfId="0" applyFont="1" applyBorder="1" applyAlignment="1">
      <alignment vertical="center" wrapText="1"/>
    </xf>
    <xf numFmtId="0" fontId="17" fillId="4" borderId="7" xfId="0" applyFont="1" applyFill="1" applyBorder="1" applyAlignment="1">
      <alignment vertical="top" wrapText="1"/>
    </xf>
    <xf numFmtId="0" fontId="10" fillId="0" borderId="7" xfId="0" applyFont="1" applyBorder="1" applyAlignment="1">
      <alignment horizontal="center" vertical="center" wrapText="1"/>
    </xf>
    <xf numFmtId="0" fontId="10" fillId="0" borderId="7" xfId="0" applyFont="1" applyBorder="1" applyAlignment="1">
      <alignment horizontal="center" vertical="center"/>
    </xf>
    <xf numFmtId="0" fontId="18" fillId="0" borderId="7" xfId="0" applyFont="1" applyBorder="1" applyAlignment="1">
      <alignment horizontal="center" vertical="center" wrapText="1"/>
    </xf>
    <xf numFmtId="1" fontId="17" fillId="7" borderId="8" xfId="0" applyNumberFormat="1" applyFont="1" applyFill="1" applyBorder="1" applyAlignment="1">
      <alignment horizontal="center" vertical="center"/>
    </xf>
    <xf numFmtId="0" fontId="10" fillId="0" borderId="8" xfId="0" applyFont="1" applyBorder="1" applyAlignment="1">
      <alignment vertical="center" wrapText="1"/>
    </xf>
    <xf numFmtId="0" fontId="10" fillId="0" borderId="9" xfId="0" applyFont="1" applyBorder="1" applyAlignment="1">
      <alignment vertical="center" wrapText="1"/>
    </xf>
    <xf numFmtId="0" fontId="10" fillId="0" borderId="10" xfId="0" applyFont="1" applyBorder="1" applyAlignment="1">
      <alignment vertical="center" wrapText="1"/>
    </xf>
    <xf numFmtId="0" fontId="10" fillId="0" borderId="10" xfId="0" applyFont="1" applyBorder="1" applyAlignment="1">
      <alignment horizontal="center" vertical="center" wrapText="1"/>
    </xf>
    <xf numFmtId="0" fontId="10" fillId="0" borderId="11" xfId="0" applyFont="1" applyBorder="1" applyAlignment="1">
      <alignment vertical="center" wrapText="1"/>
    </xf>
    <xf numFmtId="0" fontId="10" fillId="4" borderId="7" xfId="0" applyFont="1" applyFill="1" applyBorder="1" applyAlignment="1">
      <alignment horizontal="center" vertical="center" wrapText="1"/>
    </xf>
    <xf numFmtId="0" fontId="17" fillId="4" borderId="7" xfId="0" applyFont="1" applyFill="1" applyBorder="1" applyAlignment="1">
      <alignment vertical="center" wrapText="1"/>
    </xf>
    <xf numFmtId="0" fontId="17" fillId="4" borderId="7" xfId="0" applyFont="1" applyFill="1" applyBorder="1" applyAlignment="1">
      <alignment horizontal="center" vertical="center" wrapText="1"/>
    </xf>
    <xf numFmtId="0" fontId="20" fillId="0" borderId="12" xfId="0" applyFont="1" applyBorder="1" applyAlignment="1">
      <alignment horizontal="center" vertical="center" wrapText="1"/>
    </xf>
    <xf numFmtId="0" fontId="20" fillId="0" borderId="12" xfId="0" applyFont="1" applyBorder="1" applyAlignment="1">
      <alignment horizontal="center" vertical="center"/>
    </xf>
    <xf numFmtId="0" fontId="17" fillId="0" borderId="8" xfId="0" applyFont="1" applyBorder="1" applyAlignment="1">
      <alignment horizontal="left" vertical="center" wrapText="1"/>
    </xf>
    <xf numFmtId="0" fontId="6" fillId="7" borderId="8" xfId="0" applyFont="1" applyFill="1" applyBorder="1" applyAlignment="1">
      <alignment vertical="center" wrapText="1"/>
    </xf>
    <xf numFmtId="0" fontId="10" fillId="4" borderId="7" xfId="0" applyFont="1" applyFill="1" applyBorder="1" applyAlignment="1">
      <alignment vertical="center" wrapText="1"/>
    </xf>
    <xf numFmtId="0" fontId="21" fillId="0" borderId="11" xfId="0" applyFont="1" applyBorder="1" applyAlignment="1">
      <alignment vertical="center" wrapText="1"/>
    </xf>
    <xf numFmtId="0" fontId="22" fillId="0" borderId="11" xfId="0" applyFont="1" applyBorder="1" applyAlignment="1">
      <alignment vertical="center" wrapText="1"/>
    </xf>
    <xf numFmtId="0" fontId="10" fillId="0" borderId="7" xfId="0" applyFont="1" applyBorder="1" applyAlignment="1">
      <alignment vertical="center" wrapText="1"/>
    </xf>
    <xf numFmtId="0" fontId="17" fillId="0" borderId="7" xfId="0" quotePrefix="1" applyFont="1" applyBorder="1" applyAlignment="1">
      <alignment horizontal="left" vertical="center" wrapText="1"/>
    </xf>
    <xf numFmtId="1" fontId="10" fillId="0" borderId="0" xfId="0" applyNumberFormat="1" applyFont="1" applyAlignment="1">
      <alignment horizontal="center" vertical="center"/>
    </xf>
    <xf numFmtId="1" fontId="14" fillId="0" borderId="0" xfId="0" applyNumberFormat="1" applyFont="1" applyAlignment="1">
      <alignment horizontal="center" vertical="center"/>
    </xf>
    <xf numFmtId="0" fontId="14" fillId="0" borderId="0" xfId="0" applyFont="1" applyAlignment="1">
      <alignment vertical="center" wrapText="1"/>
    </xf>
    <xf numFmtId="0" fontId="23" fillId="0" borderId="0" xfId="0" applyFont="1" applyAlignment="1">
      <alignment vertical="center" wrapText="1"/>
    </xf>
    <xf numFmtId="0" fontId="14" fillId="0" borderId="0" xfId="0" applyFont="1" applyAlignment="1">
      <alignment vertical="top"/>
    </xf>
    <xf numFmtId="0" fontId="14" fillId="0" borderId="0" xfId="0" applyFont="1" applyAlignment="1">
      <alignment horizontal="center" vertical="center" wrapText="1"/>
    </xf>
    <xf numFmtId="0" fontId="14" fillId="0" borderId="0" xfId="0" applyFont="1" applyAlignment="1">
      <alignment horizontal="center" vertical="center"/>
    </xf>
    <xf numFmtId="0" fontId="24" fillId="0" borderId="0" xfId="0" applyFont="1"/>
    <xf numFmtId="0" fontId="24" fillId="0" borderId="0" xfId="0" applyFont="1" applyAlignment="1">
      <alignment vertical="top" wrapText="1"/>
    </xf>
    <xf numFmtId="0" fontId="26" fillId="0" borderId="0" xfId="0" applyFont="1"/>
    <xf numFmtId="2" fontId="26" fillId="0" borderId="0" xfId="0" applyNumberFormat="1" applyFont="1"/>
    <xf numFmtId="0" fontId="27" fillId="6" borderId="0" xfId="0" applyFont="1" applyFill="1"/>
    <xf numFmtId="166" fontId="26" fillId="0" borderId="0" xfId="0" applyNumberFormat="1" applyFont="1"/>
    <xf numFmtId="0" fontId="2" fillId="0" borderId="0" xfId="0" applyFont="1" applyAlignment="1">
      <alignment vertical="top" wrapText="1"/>
    </xf>
    <xf numFmtId="0" fontId="2" fillId="0" borderId="0" xfId="0" applyFont="1" applyAlignment="1">
      <alignment wrapText="1"/>
    </xf>
    <xf numFmtId="0" fontId="25" fillId="5" borderId="0" xfId="0" applyFont="1" applyFill="1"/>
    <xf numFmtId="0" fontId="28" fillId="0" borderId="0" xfId="0" applyFont="1" applyAlignment="1">
      <alignment vertical="top" wrapText="1"/>
    </xf>
    <xf numFmtId="2" fontId="2" fillId="0" borderId="0" xfId="0" quotePrefix="1" applyNumberFormat="1" applyFont="1"/>
    <xf numFmtId="0" fontId="29" fillId="0" borderId="0" xfId="0" applyFont="1" applyAlignment="1">
      <alignment horizontal="center" vertical="center" wrapText="1"/>
    </xf>
    <xf numFmtId="2" fontId="2" fillId="0" borderId="0" xfId="0" applyNumberFormat="1" applyFont="1"/>
    <xf numFmtId="1" fontId="2" fillId="0" borderId="0" xfId="0" applyNumberFormat="1" applyFont="1"/>
    <xf numFmtId="1" fontId="2" fillId="0" borderId="0" xfId="0" applyNumberFormat="1" applyFont="1" applyAlignment="1">
      <alignment horizontal="left" indent="6"/>
    </xf>
    <xf numFmtId="49" fontId="2" fillId="0" borderId="0" xfId="0" applyNumberFormat="1" applyFont="1"/>
    <xf numFmtId="0" fontId="4" fillId="3" borderId="1" xfId="0" applyFont="1" applyFill="1" applyBorder="1" applyAlignment="1">
      <alignment horizontal="left" vertical="center" wrapText="1" indent="1"/>
    </xf>
    <xf numFmtId="0" fontId="4" fillId="3" borderId="1" xfId="0" applyFont="1" applyFill="1" applyBorder="1" applyAlignment="1">
      <alignment horizontal="left" vertical="center" indent="1"/>
    </xf>
    <xf numFmtId="164" fontId="5" fillId="0" borderId="1" xfId="0" applyNumberFormat="1" applyFont="1" applyBorder="1" applyAlignment="1">
      <alignment horizontal="left" vertical="center" indent="1"/>
    </xf>
    <xf numFmtId="0" fontId="6" fillId="0" borderId="1" xfId="0" applyFont="1" applyBorder="1" applyAlignment="1">
      <alignment horizontal="center" vertical="center" wrapText="1"/>
    </xf>
    <xf numFmtId="0" fontId="1" fillId="2" borderId="0" xfId="0" applyFont="1" applyFill="1" applyAlignment="1">
      <alignment horizontal="center" vertical="center" wrapText="1"/>
    </xf>
    <xf numFmtId="0" fontId="3" fillId="2" borderId="1" xfId="0" applyFont="1" applyFill="1" applyBorder="1" applyAlignment="1">
      <alignment horizontal="center" vertical="center"/>
    </xf>
    <xf numFmtId="0" fontId="5" fillId="0" borderId="1" xfId="0" applyFont="1" applyBorder="1" applyAlignment="1">
      <alignment horizontal="left" vertical="center" indent="1"/>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7" fillId="3" borderId="2" xfId="0" applyFont="1" applyFill="1" applyBorder="1" applyAlignment="1">
      <alignment horizontal="left" vertical="center" wrapText="1" indent="1"/>
    </xf>
    <xf numFmtId="0" fontId="7" fillId="3" borderId="3" xfId="0" applyFont="1" applyFill="1" applyBorder="1" applyAlignment="1">
      <alignment horizontal="left" vertical="center" wrapText="1" indent="1"/>
    </xf>
    <xf numFmtId="0" fontId="4" fillId="3" borderId="2" xfId="0" applyFont="1" applyFill="1" applyBorder="1" applyAlignment="1">
      <alignment horizontal="left" vertical="center" indent="1"/>
    </xf>
    <xf numFmtId="0" fontId="4" fillId="3" borderId="3" xfId="0" applyFont="1" applyFill="1" applyBorder="1" applyAlignment="1">
      <alignment horizontal="left" vertical="center" indent="1"/>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5" fillId="0" borderId="2" xfId="0" applyFont="1" applyBorder="1" applyAlignment="1">
      <alignment horizontal="left" vertical="center" indent="1"/>
    </xf>
    <xf numFmtId="0" fontId="4" fillId="0" borderId="1" xfId="0" applyFont="1" applyBorder="1" applyAlignment="1">
      <alignment horizontal="center" vertical="center" wrapText="1"/>
    </xf>
    <xf numFmtId="0" fontId="4" fillId="3" borderId="2" xfId="0" applyFont="1" applyFill="1" applyBorder="1" applyAlignment="1">
      <alignment horizontal="left" vertical="center" wrapText="1" indent="1"/>
    </xf>
    <xf numFmtId="0" fontId="4" fillId="3" borderId="3" xfId="0" applyFont="1" applyFill="1" applyBorder="1" applyAlignment="1">
      <alignment horizontal="left" vertical="center" wrapText="1" indent="1"/>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7" fillId="3" borderId="1" xfId="0" applyFont="1" applyFill="1" applyBorder="1" applyAlignment="1">
      <alignment horizontal="left" vertical="center" wrapText="1" indent="1"/>
    </xf>
    <xf numFmtId="0" fontId="4" fillId="3"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7" fillId="3" borderId="1" xfId="0" applyFont="1" applyFill="1" applyBorder="1" applyAlignment="1">
      <alignment horizontal="left" vertical="center" indent="1"/>
    </xf>
    <xf numFmtId="165" fontId="5" fillId="0" borderId="1" xfId="1" applyNumberFormat="1" applyFont="1" applyFill="1" applyBorder="1" applyAlignment="1" applyProtection="1">
      <alignment horizontal="left" vertical="center" indent="1"/>
    </xf>
    <xf numFmtId="0" fontId="2" fillId="0" borderId="1" xfId="0" applyFont="1" applyBorder="1" applyAlignment="1">
      <alignment horizontal="center"/>
    </xf>
    <xf numFmtId="0" fontId="9" fillId="3" borderId="1" xfId="0" applyFont="1" applyFill="1" applyBorder="1" applyAlignment="1">
      <alignment horizontal="left" vertical="center" indent="1"/>
    </xf>
    <xf numFmtId="0" fontId="1" fillId="2" borderId="0" xfId="0" applyFont="1" applyFill="1" applyAlignment="1">
      <alignment horizontal="center" vertical="center"/>
    </xf>
    <xf numFmtId="0" fontId="10" fillId="0" borderId="0" xfId="0" applyFont="1" applyAlignment="1">
      <alignment vertical="top" wrapText="1"/>
    </xf>
    <xf numFmtId="0" fontId="11" fillId="4" borderId="0" xfId="0" applyFont="1" applyFill="1" applyAlignment="1">
      <alignment vertical="top" wrapText="1"/>
    </xf>
    <xf numFmtId="0" fontId="10" fillId="4" borderId="0" xfId="0" applyFont="1" applyFill="1" applyAlignment="1">
      <alignment vertical="top" wrapText="1"/>
    </xf>
    <xf numFmtId="0" fontId="10" fillId="0" borderId="0" xfId="0" applyFont="1" applyAlignment="1">
      <alignment vertical="center" wrapText="1"/>
    </xf>
    <xf numFmtId="0" fontId="10" fillId="0" borderId="0" xfId="0" applyFont="1" applyAlignment="1">
      <alignment vertical="center"/>
    </xf>
    <xf numFmtId="0" fontId="1" fillId="5" borderId="0" xfId="0" applyFont="1" applyFill="1" applyAlignment="1">
      <alignment horizontal="center" vertical="center"/>
    </xf>
    <xf numFmtId="0" fontId="11" fillId="6" borderId="0" xfId="0" applyFont="1" applyFill="1" applyAlignment="1">
      <alignment vertical="center"/>
    </xf>
    <xf numFmtId="0" fontId="1" fillId="5" borderId="0" xfId="0" applyFont="1" applyFill="1" applyAlignment="1">
      <alignment horizontal="left" vertical="center"/>
    </xf>
    <xf numFmtId="1" fontId="17" fillId="7" borderId="8" xfId="0" applyNumberFormat="1" applyFont="1" applyFill="1" applyBorder="1" applyAlignment="1">
      <alignment horizontal="center" vertical="center"/>
    </xf>
    <xf numFmtId="1" fontId="17" fillId="7" borderId="9" xfId="0" applyNumberFormat="1" applyFont="1" applyFill="1" applyBorder="1" applyAlignment="1">
      <alignment horizontal="center" vertical="center"/>
    </xf>
    <xf numFmtId="1" fontId="17" fillId="7" borderId="10" xfId="0" applyNumberFormat="1" applyFont="1" applyFill="1" applyBorder="1" applyAlignment="1">
      <alignment horizontal="center" vertical="center"/>
    </xf>
    <xf numFmtId="0" fontId="6" fillId="7" borderId="8" xfId="0" applyFont="1" applyFill="1" applyBorder="1" applyAlignment="1">
      <alignment horizontal="center" vertical="center" wrapText="1"/>
    </xf>
    <xf numFmtId="0" fontId="6" fillId="7" borderId="9" xfId="0" applyFont="1" applyFill="1" applyBorder="1" applyAlignment="1">
      <alignment horizontal="center" vertical="center" wrapText="1"/>
    </xf>
    <xf numFmtId="0" fontId="6" fillId="7" borderId="10" xfId="0" applyFont="1" applyFill="1" applyBorder="1" applyAlignment="1">
      <alignment horizontal="center" vertical="center" wrapText="1"/>
    </xf>
    <xf numFmtId="0" fontId="17" fillId="4" borderId="8" xfId="0" applyFont="1" applyFill="1" applyBorder="1" applyAlignment="1">
      <alignment horizontal="left" vertical="top" wrapText="1"/>
    </xf>
    <xf numFmtId="0" fontId="17" fillId="4" borderId="9" xfId="0" applyFont="1" applyFill="1" applyBorder="1" applyAlignment="1">
      <alignment horizontal="left" vertical="top" wrapText="1"/>
    </xf>
    <xf numFmtId="0" fontId="17" fillId="4" borderId="10" xfId="0" applyFont="1" applyFill="1" applyBorder="1" applyAlignment="1">
      <alignment horizontal="left" vertical="top" wrapText="1"/>
    </xf>
    <xf numFmtId="0" fontId="17" fillId="7" borderId="8" xfId="0" applyFont="1" applyFill="1" applyBorder="1" applyAlignment="1">
      <alignment horizontal="center" vertical="center" wrapText="1"/>
    </xf>
    <xf numFmtId="0" fontId="17" fillId="7" borderId="9" xfId="0" applyFont="1" applyFill="1" applyBorder="1" applyAlignment="1">
      <alignment horizontal="center" vertical="center" wrapText="1"/>
    </xf>
    <xf numFmtId="0" fontId="17" fillId="7" borderId="10" xfId="0" applyFont="1" applyFill="1" applyBorder="1" applyAlignment="1">
      <alignment horizontal="center" vertical="center" wrapText="1"/>
    </xf>
    <xf numFmtId="0" fontId="6" fillId="7" borderId="8" xfId="0" applyFont="1" applyFill="1" applyBorder="1" applyAlignment="1">
      <alignment horizontal="left" vertical="center" wrapText="1"/>
    </xf>
    <xf numFmtId="0" fontId="6" fillId="7" borderId="10" xfId="0" applyFont="1" applyFill="1" applyBorder="1" applyAlignment="1">
      <alignment horizontal="left" vertical="center" wrapText="1"/>
    </xf>
    <xf numFmtId="0" fontId="6" fillId="7" borderId="9" xfId="0" applyFont="1" applyFill="1" applyBorder="1" applyAlignment="1">
      <alignment horizontal="left" vertical="center" wrapText="1"/>
    </xf>
    <xf numFmtId="1" fontId="19" fillId="7" borderId="8" xfId="0" applyNumberFormat="1" applyFont="1" applyFill="1" applyBorder="1" applyAlignment="1">
      <alignment horizontal="center" vertical="center"/>
    </xf>
    <xf numFmtId="1" fontId="19" fillId="7" borderId="9" xfId="0" applyNumberFormat="1" applyFont="1" applyFill="1" applyBorder="1" applyAlignment="1">
      <alignment horizontal="center" vertical="center"/>
    </xf>
    <xf numFmtId="1" fontId="19" fillId="7" borderId="10" xfId="0" applyNumberFormat="1" applyFont="1" applyFill="1" applyBorder="1" applyAlignment="1">
      <alignment horizontal="center" vertical="center"/>
    </xf>
    <xf numFmtId="1" fontId="17" fillId="7" borderId="7" xfId="0" applyNumberFormat="1" applyFont="1" applyFill="1" applyBorder="1" applyAlignment="1">
      <alignment horizontal="center" vertical="center"/>
    </xf>
    <xf numFmtId="0" fontId="25" fillId="5" borderId="0" xfId="0" applyFont="1" applyFill="1" applyAlignment="1">
      <alignment horizontal="left"/>
    </xf>
    <xf numFmtId="0" fontId="25" fillId="5" borderId="0" xfId="0" applyFont="1" applyFill="1" applyAlignment="1">
      <alignment horizontal="left" wrapText="1"/>
    </xf>
    <xf numFmtId="0" fontId="30" fillId="0" borderId="0" xfId="0" applyFont="1"/>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CD-0640-A50B-57623C68F9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CD-0640-A50B-57623C68F9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CD-0640-A50B-57623C68F94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CD-0640-A50B-57623C68F940}"/>
              </c:ext>
            </c:extLst>
          </c:dPt>
          <c:cat>
            <c:strRef>
              <c:f>Analítico!$E$53:$E$56</c:f>
              <c:strCache>
                <c:ptCount val="4"/>
                <c:pt idx="0">
                  <c:v>Finalizado</c:v>
                </c:pt>
                <c:pt idx="1">
                  <c:v>Em andamento</c:v>
                </c:pt>
                <c:pt idx="2">
                  <c:v>Não iniciado</c:v>
                </c:pt>
                <c:pt idx="3">
                  <c:v>N/A</c:v>
                </c:pt>
              </c:strCache>
            </c:strRef>
          </c:cat>
          <c:val>
            <c:numRef>
              <c:f>Analítico!$F$53:$F$56</c:f>
              <c:numCache>
                <c:formatCode>0</c:formatCode>
                <c:ptCount val="4"/>
                <c:pt idx="0">
                  <c:v>35</c:v>
                </c:pt>
                <c:pt idx="1">
                  <c:v>25</c:v>
                </c:pt>
                <c:pt idx="2">
                  <c:v>52</c:v>
                </c:pt>
                <c:pt idx="3">
                  <c:v>0</c:v>
                </c:pt>
              </c:numCache>
            </c:numRef>
          </c:val>
          <c:extLst>
            <c:ext xmlns:c16="http://schemas.microsoft.com/office/drawing/2014/chart" uri="{C3380CC4-5D6E-409C-BE32-E72D297353CC}">
              <c16:uniqueId val="{00000000-64A3-A441-8B23-F3959E3A195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Status</a:t>
            </a:r>
            <a:r>
              <a:rPr lang="pt-BR" baseline="0"/>
              <a:t> do mapeamento</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0.2473919583581464"/>
          <c:y val="0.10529860238058478"/>
          <c:w val="0.50297501047663162"/>
          <c:h val="0.83829168412771937"/>
        </c:manualLayout>
      </c:layout>
      <c:doughnutChart>
        <c:varyColors val="1"/>
        <c:ser>
          <c:idx val="0"/>
          <c:order val="0"/>
          <c:dPt>
            <c:idx val="0"/>
            <c:bubble3D val="0"/>
            <c:spPr>
              <a:gradFill>
                <a:gsLst>
                  <a:gs pos="0">
                    <a:schemeClr val="accent1">
                      <a:lumMod val="75000"/>
                    </a:schemeClr>
                  </a:gs>
                  <a:gs pos="27000">
                    <a:schemeClr val="tx2"/>
                  </a:gs>
                  <a:gs pos="54000">
                    <a:schemeClr val="tx2"/>
                  </a:gs>
                  <a:gs pos="100000">
                    <a:schemeClr val="accent1">
                      <a:lumMod val="75000"/>
                    </a:schemeClr>
                  </a:gs>
                </a:gsLst>
                <a:lin ang="1800000" scaled="0"/>
              </a:gradFill>
              <a:ln w="19050">
                <a:solidFill>
                  <a:schemeClr val="lt1"/>
                </a:solidFill>
              </a:ln>
              <a:effectLst/>
            </c:spPr>
            <c:extLst>
              <c:ext xmlns:c16="http://schemas.microsoft.com/office/drawing/2014/chart" uri="{C3380CC4-5D6E-409C-BE32-E72D297353CC}">
                <c16:uniqueId val="{00000001-459D-D34C-A5A7-AF44CF345B6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59D-D34C-A5A7-AF44CF345B61}"/>
              </c:ext>
            </c:extLst>
          </c:dPt>
          <c:dPt>
            <c:idx val="2"/>
            <c:bubble3D val="0"/>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5400000" scaled="1"/>
                <a:tileRect/>
              </a:gradFill>
              <a:ln w="19050">
                <a:solidFill>
                  <a:schemeClr val="lt1"/>
                </a:solidFill>
              </a:ln>
              <a:effectLst/>
            </c:spPr>
            <c:extLst>
              <c:ext xmlns:c16="http://schemas.microsoft.com/office/drawing/2014/chart" uri="{C3380CC4-5D6E-409C-BE32-E72D297353CC}">
                <c16:uniqueId val="{00000005-459D-D34C-A5A7-AF44CF345B61}"/>
              </c:ext>
            </c:extLst>
          </c:dPt>
          <c:dLbls>
            <c:dLbl>
              <c:idx val="0"/>
              <c:layout>
                <c:manualLayout>
                  <c:x val="0.16120195529436859"/>
                  <c:y val="-9.006991773087187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59D-D34C-A5A7-AF44CF345B61}"/>
                </c:ext>
              </c:extLst>
            </c:dLbl>
            <c:dLbl>
              <c:idx val="1"/>
              <c:layout>
                <c:manualLayout>
                  <c:x val="0.176085262125218"/>
                  <c:y val="0.1527403192248027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59D-D34C-A5A7-AF44CF345B61}"/>
                </c:ext>
              </c:extLst>
            </c:dLbl>
            <c:dLbl>
              <c:idx val="2"/>
              <c:layout>
                <c:manualLayout>
                  <c:x val="-0.25625514457751603"/>
                  <c:y val="-0.11835667600373476"/>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59D-D34C-A5A7-AF44CF345B61}"/>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pt-B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Analítico!$E$53:$E$55</c:f>
              <c:strCache>
                <c:ptCount val="3"/>
                <c:pt idx="0">
                  <c:v>Finalizado</c:v>
                </c:pt>
                <c:pt idx="1">
                  <c:v>Em andamento</c:v>
                </c:pt>
                <c:pt idx="2">
                  <c:v>Não iniciado</c:v>
                </c:pt>
              </c:strCache>
            </c:strRef>
          </c:cat>
          <c:val>
            <c:numRef>
              <c:f>Analítico!$F$53:$F$55</c:f>
              <c:numCache>
                <c:formatCode>0</c:formatCode>
                <c:ptCount val="3"/>
                <c:pt idx="0">
                  <c:v>35</c:v>
                </c:pt>
                <c:pt idx="1">
                  <c:v>25</c:v>
                </c:pt>
                <c:pt idx="2">
                  <c:v>52</c:v>
                </c:pt>
              </c:numCache>
            </c:numRef>
          </c:val>
          <c:extLst>
            <c:ext xmlns:c16="http://schemas.microsoft.com/office/drawing/2014/chart" uri="{C3380CC4-5D6E-409C-BE32-E72D297353CC}">
              <c16:uniqueId val="{00000006-459D-D34C-A5A7-AF44CF345B61}"/>
            </c:ext>
          </c:extLst>
        </c:ser>
        <c:dLbls>
          <c:showLegendKey val="0"/>
          <c:showVal val="0"/>
          <c:showCatName val="1"/>
          <c:showSerName val="0"/>
          <c:showPercent val="1"/>
          <c:showBubbleSize val="0"/>
          <c:showLeaderLines val="1"/>
        </c:dLbls>
        <c:firstSliceAng val="0"/>
        <c:holeSize val="50"/>
      </c:doughnutChart>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b="1">
                <a:latin typeface="+mj-lt"/>
              </a:rPr>
              <a:t>Status detalhado</a:t>
            </a:r>
          </a:p>
        </c:rich>
      </c:tx>
      <c:layout>
        <c:manualLayout>
          <c:xMode val="edge"/>
          <c:yMode val="edge"/>
          <c:x val="0.39517156862745095"/>
          <c:y val="2.56000000000000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pt-BR"/>
        </a:p>
      </c:txPr>
    </c:title>
    <c:autoTitleDeleted val="0"/>
    <c:plotArea>
      <c:layout>
        <c:manualLayout>
          <c:layoutTarget val="inner"/>
          <c:xMode val="edge"/>
          <c:yMode val="edge"/>
          <c:x val="2.3238381966960011E-2"/>
          <c:y val="9.8709248170326017E-2"/>
          <c:w val="0.94793500077196235"/>
          <c:h val="0.50688041240353932"/>
        </c:manualLayout>
      </c:layout>
      <c:barChart>
        <c:barDir val="col"/>
        <c:grouping val="clustered"/>
        <c:varyColors val="0"/>
        <c:ser>
          <c:idx val="0"/>
          <c:order val="0"/>
          <c:tx>
            <c:strRef>
              <c:f>Analítico!$B$58</c:f>
              <c:strCache>
                <c:ptCount val="1"/>
                <c:pt idx="0">
                  <c:v>Privacy By Design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Analítico!$C$56:$C$57</c:f>
              <c:strCache>
                <c:ptCount val="2"/>
                <c:pt idx="1">
                  <c:v>Andamento</c:v>
                </c:pt>
              </c:strCache>
            </c:strRef>
          </c:cat>
          <c:val>
            <c:numRef>
              <c:f>Analítico!$C$58</c:f>
              <c:numCache>
                <c:formatCode>0</c:formatCode>
                <c:ptCount val="1"/>
                <c:pt idx="0">
                  <c:v>325</c:v>
                </c:pt>
              </c:numCache>
            </c:numRef>
          </c:val>
          <c:extLst>
            <c:ext xmlns:c16="http://schemas.microsoft.com/office/drawing/2014/chart" uri="{C3380CC4-5D6E-409C-BE32-E72D297353CC}">
              <c16:uniqueId val="{00000000-F494-3340-9803-5563234DEE43}"/>
            </c:ext>
          </c:extLst>
        </c:ser>
        <c:ser>
          <c:idx val="1"/>
          <c:order val="1"/>
          <c:tx>
            <c:strRef>
              <c:f>Analítico!$B$59</c:f>
              <c:strCache>
                <c:ptCount val="1"/>
                <c:pt idx="0">
                  <c:v>Direito dos titulares dos dados</c:v>
                </c:pt>
              </c:strCache>
            </c:strRef>
          </c:tx>
          <c:spPr>
            <a:solidFill>
              <a:schemeClr val="accent2"/>
            </a:solidFill>
            <a:ln>
              <a:noFill/>
            </a:ln>
            <a:effectLst/>
          </c:spPr>
          <c:invertIfNegative val="0"/>
          <c:dLbls>
            <c:delete val="1"/>
          </c:dLbls>
          <c:cat>
            <c:strRef>
              <c:f>Analítico!$C$56:$C$57</c:f>
              <c:strCache>
                <c:ptCount val="2"/>
                <c:pt idx="1">
                  <c:v>Andamento</c:v>
                </c:pt>
              </c:strCache>
            </c:strRef>
          </c:cat>
          <c:val>
            <c:numRef>
              <c:f>Analítico!$C$59</c:f>
              <c:numCache>
                <c:formatCode>0</c:formatCode>
                <c:ptCount val="1"/>
                <c:pt idx="0">
                  <c:v>0</c:v>
                </c:pt>
              </c:numCache>
            </c:numRef>
          </c:val>
          <c:extLst>
            <c:ext xmlns:c16="http://schemas.microsoft.com/office/drawing/2014/chart" uri="{C3380CC4-5D6E-409C-BE32-E72D297353CC}">
              <c16:uniqueId val="{00000001-F494-3340-9803-5563234DEE43}"/>
            </c:ext>
          </c:extLst>
        </c:ser>
        <c:ser>
          <c:idx val="2"/>
          <c:order val="2"/>
          <c:tx>
            <c:v>DPIA</c:v>
          </c:tx>
          <c:spPr>
            <a:solidFill>
              <a:schemeClr val="accent3"/>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02-F494-3340-9803-5563234DEE43}"/>
            </c:ext>
          </c:extLst>
        </c:ser>
        <c:ser>
          <c:idx val="3"/>
          <c:order val="3"/>
          <c:tx>
            <c:strRef>
              <c:f>Analítico!$B$61</c:f>
              <c:strCache>
                <c:ptCount val="1"/>
                <c:pt idx="0">
                  <c:v>Tratamento dos dados pessoais - Legitimação de uso de dados</c:v>
                </c:pt>
              </c:strCache>
            </c:strRef>
          </c:tx>
          <c:spPr>
            <a:solidFill>
              <a:schemeClr val="accent4"/>
            </a:solidFill>
            <a:ln>
              <a:noFill/>
            </a:ln>
            <a:effectLst/>
          </c:spPr>
          <c:invertIfNegative val="0"/>
          <c:dLbls>
            <c:delete val="1"/>
          </c:dLbls>
          <c:cat>
            <c:strRef>
              <c:f>Analítico!$C$56:$C$57</c:f>
              <c:strCache>
                <c:ptCount val="2"/>
                <c:pt idx="1">
                  <c:v>Andamento</c:v>
                </c:pt>
              </c:strCache>
            </c:strRef>
          </c:cat>
          <c:val>
            <c:numRef>
              <c:f>Analítico!$C$61</c:f>
              <c:numCache>
                <c:formatCode>0</c:formatCode>
                <c:ptCount val="1"/>
                <c:pt idx="0">
                  <c:v>50</c:v>
                </c:pt>
              </c:numCache>
            </c:numRef>
          </c:val>
          <c:extLst>
            <c:ext xmlns:c16="http://schemas.microsoft.com/office/drawing/2014/chart" uri="{C3380CC4-5D6E-409C-BE32-E72D297353CC}">
              <c16:uniqueId val="{00000003-F494-3340-9803-5563234DEE43}"/>
            </c:ext>
          </c:extLst>
        </c:ser>
        <c:ser>
          <c:idx val="4"/>
          <c:order val="4"/>
          <c:tx>
            <c:strRef>
              <c:f>Analítico!$B$62</c:f>
              <c:strCache>
                <c:ptCount val="1"/>
                <c:pt idx="0">
                  <c:v>Tratamento dos dados pessoais - Dados públicos</c:v>
                </c:pt>
              </c:strCache>
            </c:strRef>
          </c:tx>
          <c:spPr>
            <a:solidFill>
              <a:schemeClr val="accent5"/>
            </a:solidFill>
            <a:ln>
              <a:noFill/>
            </a:ln>
            <a:effectLst/>
          </c:spPr>
          <c:invertIfNegative val="0"/>
          <c:dLbls>
            <c:delete val="1"/>
          </c:dLbls>
          <c:cat>
            <c:strRef>
              <c:f>Analítico!$C$56:$C$57</c:f>
              <c:strCache>
                <c:ptCount val="2"/>
                <c:pt idx="1">
                  <c:v>Andamento</c:v>
                </c:pt>
              </c:strCache>
            </c:strRef>
          </c:cat>
          <c:val>
            <c:numRef>
              <c:f>Analítico!$C$62</c:f>
              <c:numCache>
                <c:formatCode>0</c:formatCode>
                <c:ptCount val="1"/>
                <c:pt idx="0">
                  <c:v>0</c:v>
                </c:pt>
              </c:numCache>
            </c:numRef>
          </c:val>
          <c:extLst>
            <c:ext xmlns:c16="http://schemas.microsoft.com/office/drawing/2014/chart" uri="{C3380CC4-5D6E-409C-BE32-E72D297353CC}">
              <c16:uniqueId val="{00000004-F494-3340-9803-5563234DEE43}"/>
            </c:ext>
          </c:extLst>
        </c:ser>
        <c:ser>
          <c:idx val="5"/>
          <c:order val="5"/>
          <c:tx>
            <c:v>Tratamento dos dados pessoais - Compartilhamento de dados</c:v>
          </c:tx>
          <c:spPr>
            <a:solidFill>
              <a:schemeClr val="accent6"/>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05-F494-3340-9803-5563234DEE43}"/>
            </c:ext>
          </c:extLst>
        </c:ser>
        <c:ser>
          <c:idx val="6"/>
          <c:order val="6"/>
          <c:tx>
            <c:v>Tratamento dos dados pessoais - Obtenção do Consentimento</c:v>
          </c:tx>
          <c:spPr>
            <a:solidFill>
              <a:schemeClr val="accent1">
                <a:lumMod val="60000"/>
              </a:schemeClr>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06-F494-3340-9803-5563234DEE43}"/>
            </c:ext>
          </c:extLst>
        </c:ser>
        <c:ser>
          <c:idx val="7"/>
          <c:order val="7"/>
          <c:tx>
            <c:v>Tratamento dos dados pessoais - Revogação do Consentimento</c:v>
          </c:tx>
          <c:spPr>
            <a:solidFill>
              <a:schemeClr val="accent2">
                <a:lumMod val="60000"/>
              </a:schemeClr>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07-F494-3340-9803-5563234DEE43}"/>
            </c:ext>
          </c:extLst>
        </c:ser>
        <c:ser>
          <c:idx val="8"/>
          <c:order val="8"/>
          <c:tx>
            <c:v>Tratamento dos dados pessoais - Atualização do Consentimento</c:v>
          </c:tx>
          <c:spPr>
            <a:solidFill>
              <a:schemeClr val="accent3">
                <a:lumMod val="60000"/>
              </a:schemeClr>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08-F494-3340-9803-5563234DEE43}"/>
            </c:ext>
          </c:extLst>
        </c:ser>
        <c:ser>
          <c:idx val="9"/>
          <c:order val="9"/>
          <c:tx>
            <c:strRef>
              <c:f>Analítico!$B$67</c:f>
              <c:strCache>
                <c:ptCount val="1"/>
                <c:pt idx="0">
                  <c:v>Tratamento dos dados pessoais - Tratamento de dados obrigatória</c:v>
                </c:pt>
              </c:strCache>
            </c:strRef>
          </c:tx>
          <c:spPr>
            <a:solidFill>
              <a:schemeClr val="accent4">
                <a:lumMod val="60000"/>
              </a:schemeClr>
            </a:solidFill>
            <a:ln>
              <a:noFill/>
            </a:ln>
            <a:effectLst/>
          </c:spPr>
          <c:invertIfNegative val="0"/>
          <c:dLbls>
            <c:delete val="1"/>
          </c:dLbls>
          <c:cat>
            <c:strRef>
              <c:f>Analítico!$C$56:$C$57</c:f>
              <c:strCache>
                <c:ptCount val="2"/>
                <c:pt idx="1">
                  <c:v>Andamento</c:v>
                </c:pt>
              </c:strCache>
            </c:strRef>
          </c:cat>
          <c:val>
            <c:numRef>
              <c:f>Analítico!$C$67</c:f>
              <c:numCache>
                <c:formatCode>0</c:formatCode>
                <c:ptCount val="1"/>
                <c:pt idx="0">
                  <c:v>100</c:v>
                </c:pt>
              </c:numCache>
            </c:numRef>
          </c:val>
          <c:extLst>
            <c:ext xmlns:c16="http://schemas.microsoft.com/office/drawing/2014/chart" uri="{C3380CC4-5D6E-409C-BE32-E72D297353CC}">
              <c16:uniqueId val="{00000009-F494-3340-9803-5563234DEE43}"/>
            </c:ext>
          </c:extLst>
        </c:ser>
        <c:ser>
          <c:idx val="10"/>
          <c:order val="10"/>
          <c:tx>
            <c:strRef>
              <c:f>Analítico!$B$68</c:f>
              <c:strCache>
                <c:ptCount val="1"/>
                <c:pt idx="0">
                  <c:v>Tratamento dos dados pessoais sensíveis - Consentimento</c:v>
                </c:pt>
              </c:strCache>
            </c:strRef>
          </c:tx>
          <c:spPr>
            <a:solidFill>
              <a:schemeClr val="accent5">
                <a:lumMod val="60000"/>
              </a:schemeClr>
            </a:solidFill>
            <a:ln>
              <a:noFill/>
            </a:ln>
            <a:effectLst/>
          </c:spPr>
          <c:invertIfNegative val="0"/>
          <c:dLbls>
            <c:delete val="1"/>
          </c:dLbls>
          <c:cat>
            <c:strRef>
              <c:f>Analítico!$C$56:$C$57</c:f>
              <c:strCache>
                <c:ptCount val="2"/>
                <c:pt idx="1">
                  <c:v>Andamento</c:v>
                </c:pt>
              </c:strCache>
            </c:strRef>
          </c:cat>
          <c:val>
            <c:numRef>
              <c:f>Analítico!$C$68</c:f>
              <c:numCache>
                <c:formatCode>0</c:formatCode>
                <c:ptCount val="1"/>
                <c:pt idx="0">
                  <c:v>100</c:v>
                </c:pt>
              </c:numCache>
            </c:numRef>
          </c:val>
          <c:extLst>
            <c:ext xmlns:c16="http://schemas.microsoft.com/office/drawing/2014/chart" uri="{C3380CC4-5D6E-409C-BE32-E72D297353CC}">
              <c16:uniqueId val="{0000000A-F494-3340-9803-5563234DEE43}"/>
            </c:ext>
          </c:extLst>
        </c:ser>
        <c:ser>
          <c:idx val="11"/>
          <c:order val="11"/>
          <c:tx>
            <c:v>Tratamento dos dados pessoais sensíveis - Compartilhamento entre controladores</c:v>
          </c:tx>
          <c:spPr>
            <a:solidFill>
              <a:schemeClr val="accent6">
                <a:lumMod val="60000"/>
              </a:schemeClr>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0B-F494-3340-9803-5563234DEE43}"/>
            </c:ext>
          </c:extLst>
        </c:ser>
        <c:ser>
          <c:idx val="12"/>
          <c:order val="12"/>
          <c:tx>
            <c:strRef>
              <c:f>Analítico!$B$70</c:f>
              <c:strCache>
                <c:ptCount val="1"/>
                <c:pt idx="0">
                  <c:v>Tratamento dos dados pessoais sensíveis - Anonimização</c:v>
                </c:pt>
              </c:strCache>
            </c:strRef>
          </c:tx>
          <c:spPr>
            <a:solidFill>
              <a:schemeClr val="accent1">
                <a:lumMod val="80000"/>
                <a:lumOff val="20000"/>
              </a:schemeClr>
            </a:solidFill>
            <a:ln>
              <a:noFill/>
            </a:ln>
            <a:effectLst/>
          </c:spPr>
          <c:invertIfNegative val="0"/>
          <c:dLbls>
            <c:delete val="1"/>
          </c:dLbls>
          <c:cat>
            <c:strRef>
              <c:f>Analítico!$C$56:$C$57</c:f>
              <c:strCache>
                <c:ptCount val="2"/>
                <c:pt idx="1">
                  <c:v>Andamento</c:v>
                </c:pt>
              </c:strCache>
            </c:strRef>
          </c:cat>
          <c:val>
            <c:numRef>
              <c:f>Analítico!$C$70</c:f>
              <c:numCache>
                <c:formatCode>0</c:formatCode>
                <c:ptCount val="1"/>
                <c:pt idx="0">
                  <c:v>100</c:v>
                </c:pt>
              </c:numCache>
            </c:numRef>
          </c:val>
          <c:extLst>
            <c:ext xmlns:c16="http://schemas.microsoft.com/office/drawing/2014/chart" uri="{C3380CC4-5D6E-409C-BE32-E72D297353CC}">
              <c16:uniqueId val="{0000000C-F494-3340-9803-5563234DEE43}"/>
            </c:ext>
          </c:extLst>
        </c:ser>
        <c:ser>
          <c:idx val="13"/>
          <c:order val="13"/>
          <c:tx>
            <c:strRef>
              <c:f>Analítico!$B$71</c:f>
              <c:strCache>
                <c:ptCount val="1"/>
                <c:pt idx="0">
                  <c:v>Tratamento dos dados pessoais sensíveis - Estudos e pesquisas de saúde pública</c:v>
                </c:pt>
              </c:strCache>
            </c:strRef>
          </c:tx>
          <c:spPr>
            <a:solidFill>
              <a:schemeClr val="accent2">
                <a:lumMod val="80000"/>
                <a:lumOff val="20000"/>
              </a:schemeClr>
            </a:solidFill>
            <a:ln>
              <a:noFill/>
            </a:ln>
            <a:effectLst/>
          </c:spPr>
          <c:invertIfNegative val="0"/>
          <c:dLbls>
            <c:delete val="1"/>
          </c:dLbls>
          <c:cat>
            <c:strRef>
              <c:f>Analítico!$C$56:$C$57</c:f>
              <c:strCache>
                <c:ptCount val="2"/>
                <c:pt idx="1">
                  <c:v>Andamento</c:v>
                </c:pt>
              </c:strCache>
            </c:strRef>
          </c:cat>
          <c:val>
            <c:numRef>
              <c:f>Analítico!$C$71</c:f>
              <c:numCache>
                <c:formatCode>0</c:formatCode>
                <c:ptCount val="1"/>
                <c:pt idx="0">
                  <c:v>100</c:v>
                </c:pt>
              </c:numCache>
            </c:numRef>
          </c:val>
          <c:extLst>
            <c:ext xmlns:c16="http://schemas.microsoft.com/office/drawing/2014/chart" uri="{C3380CC4-5D6E-409C-BE32-E72D297353CC}">
              <c16:uniqueId val="{0000000D-F494-3340-9803-5563234DEE43}"/>
            </c:ext>
          </c:extLst>
        </c:ser>
        <c:ser>
          <c:idx val="14"/>
          <c:order val="14"/>
          <c:tx>
            <c:strRef>
              <c:f>Analítico!$B$72</c:f>
              <c:strCache>
                <c:ptCount val="1"/>
                <c:pt idx="0">
                  <c:v>Tratamento dos dados pessoais sensíveis - Sem consentimento</c:v>
                </c:pt>
              </c:strCache>
            </c:strRef>
          </c:tx>
          <c:spPr>
            <a:solidFill>
              <a:schemeClr val="accent3">
                <a:lumMod val="80000"/>
                <a:lumOff val="20000"/>
              </a:schemeClr>
            </a:solidFill>
            <a:ln>
              <a:noFill/>
            </a:ln>
            <a:effectLst/>
          </c:spPr>
          <c:invertIfNegative val="0"/>
          <c:dLbls>
            <c:delete val="1"/>
          </c:dLbls>
          <c:cat>
            <c:strRef>
              <c:f>Analítico!$C$56:$C$57</c:f>
              <c:strCache>
                <c:ptCount val="2"/>
                <c:pt idx="1">
                  <c:v>Andamento</c:v>
                </c:pt>
              </c:strCache>
            </c:strRef>
          </c:cat>
          <c:val>
            <c:numRef>
              <c:f>Analítico!$C$72</c:f>
              <c:numCache>
                <c:formatCode>0</c:formatCode>
                <c:ptCount val="1"/>
                <c:pt idx="0">
                  <c:v>0</c:v>
                </c:pt>
              </c:numCache>
            </c:numRef>
          </c:val>
          <c:extLst>
            <c:ext xmlns:c16="http://schemas.microsoft.com/office/drawing/2014/chart" uri="{C3380CC4-5D6E-409C-BE32-E72D297353CC}">
              <c16:uniqueId val="{0000000E-F494-3340-9803-5563234DEE43}"/>
            </c:ext>
          </c:extLst>
        </c:ser>
        <c:ser>
          <c:idx val="15"/>
          <c:order val="15"/>
          <c:tx>
            <c:v>Tratamento dos dados pessoais sensíveis - Crianças e adolescentes</c:v>
          </c:tx>
          <c:spPr>
            <a:solidFill>
              <a:schemeClr val="accent4">
                <a:lumMod val="80000"/>
                <a:lumOff val="20000"/>
              </a:schemeClr>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0F-F494-3340-9803-5563234DEE43}"/>
            </c:ext>
          </c:extLst>
        </c:ser>
        <c:ser>
          <c:idx val="16"/>
          <c:order val="16"/>
          <c:tx>
            <c:v>Término do Tratamento de Dados</c:v>
          </c:tx>
          <c:spPr>
            <a:solidFill>
              <a:schemeClr val="accent5">
                <a:lumMod val="80000"/>
                <a:lumOff val="20000"/>
              </a:schemeClr>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10-F494-3340-9803-5563234DEE43}"/>
            </c:ext>
          </c:extLst>
        </c:ser>
        <c:ser>
          <c:idx val="17"/>
          <c:order val="17"/>
          <c:tx>
            <c:v>Transferência internacional de dados</c:v>
          </c:tx>
          <c:spPr>
            <a:solidFill>
              <a:schemeClr val="accent6">
                <a:lumMod val="80000"/>
                <a:lumOff val="20000"/>
              </a:schemeClr>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11-F494-3340-9803-5563234DEE43}"/>
            </c:ext>
          </c:extLst>
        </c:ser>
        <c:ser>
          <c:idx val="18"/>
          <c:order val="18"/>
          <c:tx>
            <c:v>Agentes de tratamento de dados</c:v>
          </c:tx>
          <c:spPr>
            <a:solidFill>
              <a:schemeClr val="accent1">
                <a:lumMod val="80000"/>
              </a:schemeClr>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12-F494-3340-9803-5563234DEE43}"/>
            </c:ext>
          </c:extLst>
        </c:ser>
        <c:ser>
          <c:idx val="19"/>
          <c:order val="19"/>
          <c:tx>
            <c:v>DPO</c:v>
          </c:tx>
          <c:spPr>
            <a:solidFill>
              <a:schemeClr val="accent2">
                <a:lumMod val="80000"/>
              </a:schemeClr>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13-F494-3340-9803-5563234DEE43}"/>
            </c:ext>
          </c:extLst>
        </c:ser>
        <c:ser>
          <c:idx val="20"/>
          <c:order val="20"/>
          <c:tx>
            <c:strRef>
              <c:f>Analítico!$B$78</c:f>
              <c:strCache>
                <c:ptCount val="1"/>
                <c:pt idx="0">
                  <c:v>Segurança da Informação</c:v>
                </c:pt>
              </c:strCache>
            </c:strRef>
          </c:tx>
          <c:spPr>
            <a:solidFill>
              <a:schemeClr val="accent3">
                <a:lumMod val="80000"/>
              </a:schemeClr>
            </a:solidFill>
            <a:ln>
              <a:noFill/>
            </a:ln>
            <a:effectLst/>
          </c:spPr>
          <c:invertIfNegative val="0"/>
          <c:dLbls>
            <c:delete val="1"/>
          </c:dLbls>
          <c:cat>
            <c:strRef>
              <c:f>Analítico!$C$56:$C$57</c:f>
              <c:strCache>
                <c:ptCount val="2"/>
                <c:pt idx="1">
                  <c:v>Andamento</c:v>
                </c:pt>
              </c:strCache>
            </c:strRef>
          </c:cat>
          <c:val>
            <c:numRef>
              <c:f>Analítico!$C$78</c:f>
              <c:numCache>
                <c:formatCode>0</c:formatCode>
                <c:ptCount val="1"/>
                <c:pt idx="0">
                  <c:v>40</c:v>
                </c:pt>
              </c:numCache>
            </c:numRef>
          </c:val>
          <c:extLst>
            <c:ext xmlns:c16="http://schemas.microsoft.com/office/drawing/2014/chart" uri="{C3380CC4-5D6E-409C-BE32-E72D297353CC}">
              <c16:uniqueId val="{00000014-F494-3340-9803-5563234DEE43}"/>
            </c:ext>
          </c:extLst>
        </c:ser>
        <c:ser>
          <c:idx val="21"/>
          <c:order val="21"/>
          <c:tx>
            <c:strRef>
              <c:f>Analítico!$B$79</c:f>
              <c:strCache>
                <c:ptCount val="1"/>
                <c:pt idx="0">
                  <c:v>Gestão de Incidentes de Privacidade</c:v>
                </c:pt>
              </c:strCache>
            </c:strRef>
          </c:tx>
          <c:spPr>
            <a:solidFill>
              <a:schemeClr val="accent4">
                <a:lumMod val="80000"/>
              </a:schemeClr>
            </a:solidFill>
            <a:ln>
              <a:noFill/>
            </a:ln>
            <a:effectLst/>
          </c:spPr>
          <c:invertIfNegative val="0"/>
          <c:dLbls>
            <c:delete val="1"/>
          </c:dLbls>
          <c:cat>
            <c:strRef>
              <c:f>Analítico!$C$56:$C$57</c:f>
              <c:strCache>
                <c:ptCount val="2"/>
                <c:pt idx="1">
                  <c:v>Andamento</c:v>
                </c:pt>
              </c:strCache>
            </c:strRef>
          </c:cat>
          <c:val>
            <c:numRef>
              <c:f>Analítico!$C$79</c:f>
              <c:numCache>
                <c:formatCode>0</c:formatCode>
                <c:ptCount val="1"/>
                <c:pt idx="0">
                  <c:v>0</c:v>
                </c:pt>
              </c:numCache>
            </c:numRef>
          </c:val>
          <c:extLst>
            <c:ext xmlns:c16="http://schemas.microsoft.com/office/drawing/2014/chart" uri="{C3380CC4-5D6E-409C-BE32-E72D297353CC}">
              <c16:uniqueId val="{00000015-F494-3340-9803-5563234DEE43}"/>
            </c:ext>
          </c:extLst>
        </c:ser>
        <c:ser>
          <c:idx val="22"/>
          <c:order val="22"/>
          <c:tx>
            <c:v>Programa de Governança em Privacidade</c:v>
          </c:tx>
          <c:spPr>
            <a:solidFill>
              <a:schemeClr val="accent5">
                <a:lumMod val="80000"/>
              </a:schemeClr>
            </a:solidFill>
            <a:ln>
              <a:noFill/>
            </a:ln>
            <a:effectLst/>
          </c:spPr>
          <c:invertIfNegative val="0"/>
          <c:dLbls>
            <c:delete val="1"/>
          </c:dLbls>
          <c:cat>
            <c:strRef>
              <c:f>Analítico!$C$56:$C$57</c:f>
              <c:strCache>
                <c:ptCount val="2"/>
                <c:pt idx="1">
                  <c:v>Andamento</c:v>
                </c:pt>
              </c:strCache>
            </c:strRef>
          </c:cat>
          <c:val>
            <c:numLit>
              <c:formatCode>General</c:formatCode>
              <c:ptCount val="1"/>
              <c:pt idx="0">
                <c:v>0</c:v>
              </c:pt>
            </c:numLit>
          </c:val>
          <c:extLst>
            <c:ext xmlns:c16="http://schemas.microsoft.com/office/drawing/2014/chart" uri="{C3380CC4-5D6E-409C-BE32-E72D297353CC}">
              <c16:uniqueId val="{00000016-F494-3340-9803-5563234DEE43}"/>
            </c:ext>
          </c:extLst>
        </c:ser>
        <c:ser>
          <c:idx val="23"/>
          <c:order val="23"/>
          <c:tx>
            <c:strRef>
              <c:f>Analítico!$B$81</c:f>
              <c:strCache>
                <c:ptCount val="1"/>
                <c:pt idx="0">
                  <c:v>Tratamento de dados pessoais - poder público</c:v>
                </c:pt>
              </c:strCache>
            </c:strRef>
          </c:tx>
          <c:spPr>
            <a:solidFill>
              <a:schemeClr val="accent6">
                <a:lumMod val="80000"/>
              </a:schemeClr>
            </a:solidFill>
            <a:ln>
              <a:noFill/>
            </a:ln>
            <a:effectLst/>
          </c:spPr>
          <c:invertIfNegative val="0"/>
          <c:dLbls>
            <c:delete val="1"/>
          </c:dLbls>
          <c:cat>
            <c:strRef>
              <c:f>Analítico!$C$56:$C$57</c:f>
              <c:strCache>
                <c:ptCount val="2"/>
                <c:pt idx="1">
                  <c:v>Andamento</c:v>
                </c:pt>
              </c:strCache>
            </c:strRef>
          </c:cat>
          <c:val>
            <c:numRef>
              <c:f>Analítico!$C$81</c:f>
              <c:numCache>
                <c:formatCode>0</c:formatCode>
                <c:ptCount val="1"/>
                <c:pt idx="0">
                  <c:v>100</c:v>
                </c:pt>
              </c:numCache>
            </c:numRef>
          </c:val>
          <c:extLst>
            <c:ext xmlns:c16="http://schemas.microsoft.com/office/drawing/2014/chart" uri="{C3380CC4-5D6E-409C-BE32-E72D297353CC}">
              <c16:uniqueId val="{00000017-F494-3340-9803-5563234DEE43}"/>
            </c:ext>
          </c:extLst>
        </c:ser>
        <c:dLbls>
          <c:dLblPos val="outEnd"/>
          <c:showLegendKey val="0"/>
          <c:showVal val="1"/>
          <c:showCatName val="0"/>
          <c:showSerName val="0"/>
          <c:showPercent val="0"/>
          <c:showBubbleSize val="0"/>
        </c:dLbls>
        <c:gapWidth val="182"/>
        <c:axId val="-981965952"/>
        <c:axId val="-981967040"/>
      </c:barChart>
      <c:catAx>
        <c:axId val="-981965952"/>
        <c:scaling>
          <c:orientation val="minMax"/>
        </c:scaling>
        <c:delete val="1"/>
        <c:axPos val="b"/>
        <c:numFmt formatCode="General" sourceLinked="1"/>
        <c:majorTickMark val="none"/>
        <c:minorTickMark val="none"/>
        <c:tickLblPos val="nextTo"/>
        <c:crossAx val="-981967040"/>
        <c:crosses val="autoZero"/>
        <c:auto val="1"/>
        <c:lblAlgn val="ctr"/>
        <c:lblOffset val="100"/>
        <c:noMultiLvlLbl val="0"/>
      </c:catAx>
      <c:valAx>
        <c:axId val="-981967040"/>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pt-BR"/>
          </a:p>
        </c:txPr>
        <c:crossAx val="-981965952"/>
        <c:crosses val="autoZero"/>
        <c:crossBetween val="between"/>
      </c:valAx>
      <c:spPr>
        <a:noFill/>
        <a:ln>
          <a:noFill/>
        </a:ln>
        <a:effectLst/>
      </c:spPr>
    </c:plotArea>
    <c:legend>
      <c:legendPos val="b"/>
      <c:layout>
        <c:manualLayout>
          <c:xMode val="edge"/>
          <c:yMode val="edge"/>
          <c:x val="0.13630053412572915"/>
          <c:y val="0.65808788330930001"/>
          <c:w val="0.70369781544572974"/>
          <c:h val="0.341813832683931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1306534</xdr:colOff>
      <xdr:row>46</xdr:row>
      <xdr:rowOff>176756</xdr:rowOff>
    </xdr:from>
    <xdr:to>
      <xdr:col>11</xdr:col>
      <xdr:colOff>207027</xdr:colOff>
      <xdr:row>60</xdr:row>
      <xdr:rowOff>275573</xdr:rowOff>
    </xdr:to>
    <xdr:graphicFrame macro="">
      <xdr:nvGraphicFramePr>
        <xdr:cNvPr id="8" name="Gráfico 7">
          <a:extLst>
            <a:ext uri="{FF2B5EF4-FFF2-40B4-BE49-F238E27FC236}">
              <a16:creationId xmlns:a16="http://schemas.microsoft.com/office/drawing/2014/main" id="{1A02AE62-9B58-0EFA-9DB9-1D1881691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75467</xdr:rowOff>
    </xdr:from>
    <xdr:to>
      <xdr:col>9</xdr:col>
      <xdr:colOff>180975</xdr:colOff>
      <xdr:row>20</xdr:row>
      <xdr:rowOff>46892</xdr:rowOff>
    </xdr:to>
    <xdr:graphicFrame macro="">
      <xdr:nvGraphicFramePr>
        <xdr:cNvPr id="4" name="Chart 3">
          <a:extLst>
            <a:ext uri="{FF2B5EF4-FFF2-40B4-BE49-F238E27FC236}">
              <a16:creationId xmlns:a16="http://schemas.microsoft.com/office/drawing/2014/main" id="{2D16551F-8EFA-6F40-B390-3B620C7C6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247650</xdr:colOff>
      <xdr:row>3</xdr:row>
      <xdr:rowOff>151846</xdr:rowOff>
    </xdr:from>
    <xdr:to>
      <xdr:col>18</xdr:col>
      <xdr:colOff>5922066</xdr:colOff>
      <xdr:row>43</xdr:row>
      <xdr:rowOff>149411</xdr:rowOff>
    </xdr:to>
    <xdr:graphicFrame macro="">
      <xdr:nvGraphicFramePr>
        <xdr:cNvPr id="5" name="Chart 2">
          <a:extLst>
            <a:ext uri="{FF2B5EF4-FFF2-40B4-BE49-F238E27FC236}">
              <a16:creationId xmlns:a16="http://schemas.microsoft.com/office/drawing/2014/main" id="{340ECEE4-C466-3E4D-91F0-2CF0A4751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621AC-8466-5445-903C-DA8467C1B580}">
  <dimension ref="B2:K20"/>
  <sheetViews>
    <sheetView showGridLines="0" tabSelected="1" workbookViewId="0">
      <selection activeCell="C24" sqref="C24"/>
    </sheetView>
  </sheetViews>
  <sheetFormatPr defaultColWidth="9.125" defaultRowHeight="15" x14ac:dyDescent="0.25"/>
  <cols>
    <col min="1" max="1" width="3.375" style="1" customWidth="1"/>
    <col min="2" max="2" width="9.125" style="1"/>
    <col min="3" max="3" width="17.875" style="1" customWidth="1"/>
    <col min="4" max="5" width="9.125" style="1"/>
    <col min="6" max="6" width="19.625" style="1" customWidth="1"/>
    <col min="7" max="7" width="9.125" style="1"/>
    <col min="8" max="8" width="23.125" style="1" customWidth="1"/>
    <col min="9" max="10" width="9.125" style="1"/>
    <col min="11" max="11" width="20.125" style="1" customWidth="1"/>
    <col min="12" max="16384" width="9.125" style="1"/>
  </cols>
  <sheetData>
    <row r="2" spans="2:11" x14ac:dyDescent="0.25">
      <c r="B2" s="95" t="s">
        <v>0</v>
      </c>
      <c r="C2" s="95"/>
      <c r="D2" s="95"/>
      <c r="E2" s="95"/>
      <c r="F2" s="95"/>
      <c r="G2" s="95"/>
      <c r="H2" s="95"/>
      <c r="I2" s="95"/>
      <c r="J2" s="95"/>
      <c r="K2" s="95"/>
    </row>
    <row r="3" spans="2:11" x14ac:dyDescent="0.25">
      <c r="B3" s="95"/>
      <c r="C3" s="95"/>
      <c r="D3" s="95"/>
      <c r="E3" s="95"/>
      <c r="F3" s="95"/>
      <c r="G3" s="95"/>
      <c r="H3" s="95"/>
      <c r="I3" s="95"/>
      <c r="J3" s="95"/>
      <c r="K3" s="95"/>
    </row>
    <row r="5" spans="2:11" x14ac:dyDescent="0.25">
      <c r="B5" s="96" t="s">
        <v>1</v>
      </c>
      <c r="C5" s="96"/>
      <c r="D5" s="96"/>
      <c r="E5" s="96"/>
      <c r="F5" s="96"/>
      <c r="G5" s="96"/>
      <c r="H5" s="96"/>
      <c r="I5" s="96"/>
      <c r="J5" s="96"/>
      <c r="K5" s="96"/>
    </row>
    <row r="6" spans="2:11" x14ac:dyDescent="0.25">
      <c r="B6" s="92" t="s">
        <v>2</v>
      </c>
      <c r="C6" s="92"/>
      <c r="D6" s="97" t="s">
        <v>463</v>
      </c>
      <c r="E6" s="97"/>
      <c r="F6" s="97"/>
      <c r="G6" s="91" t="s">
        <v>3</v>
      </c>
      <c r="H6" s="91"/>
      <c r="I6" s="91"/>
      <c r="J6" s="91"/>
      <c r="K6" s="91"/>
    </row>
    <row r="7" spans="2:11" x14ac:dyDescent="0.25">
      <c r="B7" s="91" t="s">
        <v>4</v>
      </c>
      <c r="C7" s="92"/>
      <c r="D7" s="93"/>
      <c r="E7" s="93"/>
      <c r="F7" s="93"/>
      <c r="G7" s="94" t="s">
        <v>5</v>
      </c>
      <c r="H7" s="94"/>
      <c r="I7" s="94"/>
      <c r="J7" s="94"/>
      <c r="K7" s="94"/>
    </row>
    <row r="8" spans="2:11" x14ac:dyDescent="0.25">
      <c r="B8" s="102" t="s">
        <v>6</v>
      </c>
      <c r="C8" s="103"/>
      <c r="D8" s="97"/>
      <c r="E8" s="97"/>
      <c r="F8" s="97"/>
      <c r="G8" s="91" t="s">
        <v>7</v>
      </c>
      <c r="H8" s="91"/>
      <c r="I8" s="91"/>
      <c r="J8" s="91"/>
      <c r="K8" s="91"/>
    </row>
    <row r="9" spans="2:11" x14ac:dyDescent="0.25">
      <c r="B9" s="104" t="s">
        <v>8</v>
      </c>
      <c r="C9" s="105"/>
      <c r="D9" s="97"/>
      <c r="E9" s="97"/>
      <c r="F9" s="106"/>
      <c r="G9" s="107" t="s">
        <v>5</v>
      </c>
      <c r="H9" s="107"/>
      <c r="I9" s="107"/>
      <c r="J9" s="107"/>
      <c r="K9" s="107"/>
    </row>
    <row r="10" spans="2:11" x14ac:dyDescent="0.25">
      <c r="B10" s="108" t="s">
        <v>9</v>
      </c>
      <c r="C10" s="109"/>
      <c r="D10" s="110"/>
      <c r="E10" s="111"/>
      <c r="F10" s="111"/>
      <c r="G10" s="91" t="s">
        <v>10</v>
      </c>
      <c r="H10" s="91"/>
      <c r="I10" s="91"/>
      <c r="J10" s="91"/>
      <c r="K10" s="91"/>
    </row>
    <row r="11" spans="2:11" x14ac:dyDescent="0.25">
      <c r="B11" s="91" t="s">
        <v>11</v>
      </c>
      <c r="C11" s="91"/>
      <c r="D11" s="91"/>
      <c r="E11" s="91"/>
      <c r="F11" s="91"/>
      <c r="G11" s="2" t="s">
        <v>12</v>
      </c>
      <c r="H11" s="3" t="s">
        <v>13</v>
      </c>
      <c r="I11" s="2" t="s">
        <v>12</v>
      </c>
      <c r="J11" s="100" t="s">
        <v>14</v>
      </c>
      <c r="K11" s="101"/>
    </row>
    <row r="12" spans="2:11" ht="22.5" x14ac:dyDescent="0.25">
      <c r="B12" s="98"/>
      <c r="C12" s="98"/>
      <c r="D12" s="98"/>
      <c r="E12" s="98"/>
      <c r="F12" s="99"/>
      <c r="G12" s="2" t="s">
        <v>12</v>
      </c>
      <c r="H12" s="4" t="s">
        <v>15</v>
      </c>
      <c r="I12" s="2" t="s">
        <v>16</v>
      </c>
      <c r="J12" s="100" t="s">
        <v>17</v>
      </c>
      <c r="K12" s="101"/>
    </row>
    <row r="13" spans="2:11" ht="22.5" x14ac:dyDescent="0.25">
      <c r="B13" s="91" t="s">
        <v>18</v>
      </c>
      <c r="C13" s="91"/>
      <c r="D13" s="91"/>
      <c r="E13" s="91"/>
      <c r="F13" s="108"/>
      <c r="G13" s="2" t="s">
        <v>12</v>
      </c>
      <c r="H13" s="5" t="s">
        <v>19</v>
      </c>
      <c r="I13" s="2" t="s">
        <v>12</v>
      </c>
      <c r="J13" s="100" t="s">
        <v>20</v>
      </c>
      <c r="K13" s="101"/>
    </row>
    <row r="14" spans="2:11" ht="22.5" x14ac:dyDescent="0.25">
      <c r="B14" s="98"/>
      <c r="C14" s="98"/>
      <c r="D14" s="98"/>
      <c r="E14" s="98"/>
      <c r="F14" s="99"/>
      <c r="G14" s="2" t="s">
        <v>12</v>
      </c>
      <c r="H14" s="5" t="s">
        <v>21</v>
      </c>
      <c r="I14" s="2" t="s">
        <v>12</v>
      </c>
      <c r="J14" s="112" t="s">
        <v>22</v>
      </c>
      <c r="K14" s="112"/>
    </row>
    <row r="15" spans="2:11" x14ac:dyDescent="0.25">
      <c r="B15" s="92" t="s">
        <v>23</v>
      </c>
      <c r="C15" s="92"/>
      <c r="D15" s="92"/>
      <c r="E15" s="92"/>
      <c r="F15" s="92"/>
      <c r="G15" s="113" t="s">
        <v>24</v>
      </c>
      <c r="H15" s="114"/>
      <c r="I15" s="114"/>
      <c r="J15" s="114"/>
      <c r="K15" s="115"/>
    </row>
    <row r="16" spans="2:11" x14ac:dyDescent="0.25">
      <c r="B16" s="116" t="s">
        <v>25</v>
      </c>
      <c r="C16" s="116"/>
      <c r="D16" s="117"/>
      <c r="E16" s="117"/>
      <c r="F16" s="117"/>
      <c r="G16" s="118"/>
      <c r="H16" s="118"/>
      <c r="I16" s="118"/>
      <c r="J16" s="118"/>
      <c r="K16" s="118"/>
    </row>
    <row r="17" spans="2:11" x14ac:dyDescent="0.25">
      <c r="B17" s="116" t="s">
        <v>26</v>
      </c>
      <c r="C17" s="119"/>
      <c r="D17" s="117"/>
      <c r="E17" s="117"/>
      <c r="F17" s="117"/>
      <c r="G17" s="118"/>
      <c r="H17" s="118"/>
      <c r="I17" s="118"/>
      <c r="J17" s="118"/>
      <c r="K17" s="118"/>
    </row>
    <row r="18" spans="2:11" x14ac:dyDescent="0.25">
      <c r="B18" s="116" t="s">
        <v>27</v>
      </c>
      <c r="C18" s="119"/>
      <c r="D18" s="117"/>
      <c r="E18" s="117"/>
      <c r="F18" s="117"/>
      <c r="G18" s="118"/>
      <c r="H18" s="118"/>
      <c r="I18" s="118"/>
      <c r="J18" s="118"/>
      <c r="K18" s="118"/>
    </row>
    <row r="20" spans="2:11" x14ac:dyDescent="0.25">
      <c r="B20" s="150" t="s">
        <v>477</v>
      </c>
      <c r="H20" s="1" t="s">
        <v>478</v>
      </c>
    </row>
  </sheetData>
  <mergeCells count="34">
    <mergeCell ref="B16:C16"/>
    <mergeCell ref="D16:F16"/>
    <mergeCell ref="G16:K18"/>
    <mergeCell ref="B17:C17"/>
    <mergeCell ref="D17:F17"/>
    <mergeCell ref="B18:C18"/>
    <mergeCell ref="D18:F18"/>
    <mergeCell ref="B13:F13"/>
    <mergeCell ref="J13:K13"/>
    <mergeCell ref="B14:F14"/>
    <mergeCell ref="J14:K14"/>
    <mergeCell ref="B15:F15"/>
    <mergeCell ref="G15:K15"/>
    <mergeCell ref="B12:F12"/>
    <mergeCell ref="J12:K12"/>
    <mergeCell ref="B8:C8"/>
    <mergeCell ref="D8:F8"/>
    <mergeCell ref="G8:K8"/>
    <mergeCell ref="B9:C9"/>
    <mergeCell ref="D9:F9"/>
    <mergeCell ref="G9:K9"/>
    <mergeCell ref="B10:C10"/>
    <mergeCell ref="D10:F10"/>
    <mergeCell ref="G10:K10"/>
    <mergeCell ref="B11:F11"/>
    <mergeCell ref="J11:K11"/>
    <mergeCell ref="B7:C7"/>
    <mergeCell ref="D7:F7"/>
    <mergeCell ref="G7:K7"/>
    <mergeCell ref="B2:K3"/>
    <mergeCell ref="B5:K5"/>
    <mergeCell ref="B6:C6"/>
    <mergeCell ref="D6:F6"/>
    <mergeCell ref="G6:K6"/>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460CB-A947-254F-AB8C-34BB15B4878C}">
  <dimension ref="B2:J20"/>
  <sheetViews>
    <sheetView showGridLines="0" workbookViewId="0">
      <selection activeCell="G9" sqref="G9"/>
    </sheetView>
  </sheetViews>
  <sheetFormatPr defaultColWidth="9.125" defaultRowHeight="15" x14ac:dyDescent="0.25"/>
  <cols>
    <col min="1" max="1" width="3.375" style="1" customWidth="1"/>
    <col min="2" max="2" width="19" style="1" bestFit="1" customWidth="1"/>
    <col min="3" max="3" width="20.5" style="1" customWidth="1"/>
    <col min="4" max="4" width="15.875" style="1" customWidth="1"/>
    <col min="5" max="5" width="16.5" style="1" customWidth="1"/>
    <col min="6" max="6" width="14.375" style="1" customWidth="1"/>
    <col min="7" max="7" width="17.125" style="1" customWidth="1"/>
    <col min="8" max="9" width="12" style="1" customWidth="1"/>
    <col min="10" max="10" width="32.625" style="1" customWidth="1"/>
    <col min="11" max="16384" width="9.125" style="1"/>
  </cols>
  <sheetData>
    <row r="2" spans="2:10" x14ac:dyDescent="0.25">
      <c r="B2" s="120" t="s">
        <v>28</v>
      </c>
      <c r="C2" s="120"/>
      <c r="D2" s="120"/>
      <c r="E2" s="120"/>
      <c r="F2" s="120"/>
      <c r="G2" s="120"/>
      <c r="H2" s="120"/>
      <c r="I2" s="120"/>
      <c r="J2" s="120"/>
    </row>
    <row r="3" spans="2:10" x14ac:dyDescent="0.25">
      <c r="B3" s="120"/>
      <c r="C3" s="120"/>
      <c r="D3" s="120"/>
      <c r="E3" s="120"/>
      <c r="F3" s="120"/>
      <c r="G3" s="120"/>
      <c r="H3" s="120"/>
      <c r="I3" s="120"/>
      <c r="J3" s="120"/>
    </row>
    <row r="4" spans="2:10" x14ac:dyDescent="0.25">
      <c r="B4" s="121"/>
      <c r="C4" s="121"/>
      <c r="D4" s="121"/>
      <c r="E4" s="121"/>
      <c r="F4" s="121"/>
      <c r="G4" s="121"/>
      <c r="H4" s="121"/>
      <c r="I4" s="121"/>
      <c r="J4" s="121"/>
    </row>
    <row r="5" spans="2:10" x14ac:dyDescent="0.25">
      <c r="B5" s="122" t="s">
        <v>29</v>
      </c>
      <c r="C5" s="122"/>
      <c r="D5" s="122"/>
      <c r="E5" s="122"/>
      <c r="F5" s="122"/>
      <c r="G5" s="122"/>
      <c r="H5" s="122"/>
      <c r="I5" s="122"/>
      <c r="J5" s="122"/>
    </row>
    <row r="6" spans="2:10" x14ac:dyDescent="0.25">
      <c r="B6" s="123" t="s">
        <v>30</v>
      </c>
      <c r="C6" s="123"/>
      <c r="D6" s="123"/>
      <c r="E6" s="123"/>
      <c r="F6" s="123"/>
      <c r="G6" s="123"/>
      <c r="H6" s="123"/>
      <c r="I6" s="123"/>
      <c r="J6" s="123"/>
    </row>
    <row r="7" spans="2:10" x14ac:dyDescent="0.25">
      <c r="B7" s="6"/>
      <c r="C7" s="6"/>
      <c r="D7" s="6"/>
      <c r="E7" s="6"/>
      <c r="F7" s="6"/>
      <c r="G7" s="6"/>
      <c r="H7" s="6"/>
      <c r="I7" s="6"/>
      <c r="J7" s="7"/>
    </row>
    <row r="8" spans="2:10" x14ac:dyDescent="0.25">
      <c r="B8" s="8" t="s">
        <v>31</v>
      </c>
      <c r="C8" s="7"/>
      <c r="D8" s="7"/>
      <c r="E8" s="7"/>
      <c r="F8" s="7"/>
      <c r="G8" s="7"/>
      <c r="H8" s="7"/>
      <c r="I8" s="7"/>
      <c r="J8" s="7"/>
    </row>
    <row r="9" spans="2:10" x14ac:dyDescent="0.25">
      <c r="B9" s="7" t="s">
        <v>32</v>
      </c>
      <c r="C9" s="7"/>
      <c r="D9" s="7"/>
      <c r="E9" s="7"/>
      <c r="F9" s="7"/>
      <c r="G9" s="7"/>
      <c r="H9" s="7"/>
      <c r="I9" s="7"/>
      <c r="J9" s="7"/>
    </row>
    <row r="10" spans="2:10" x14ac:dyDescent="0.25">
      <c r="B10" s="7" t="s">
        <v>33</v>
      </c>
      <c r="C10" s="7"/>
      <c r="D10" s="7"/>
      <c r="E10" s="7"/>
      <c r="F10" s="7"/>
      <c r="G10" s="7"/>
      <c r="H10" s="7"/>
      <c r="I10" s="7"/>
      <c r="J10" s="7"/>
    </row>
    <row r="11" spans="2:10" x14ac:dyDescent="0.25">
      <c r="B11" s="7" t="s">
        <v>34</v>
      </c>
      <c r="C11" s="7"/>
      <c r="D11" s="7"/>
      <c r="E11" s="7"/>
      <c r="F11" s="7"/>
      <c r="G11" s="7"/>
      <c r="H11" s="7"/>
      <c r="I11" s="7"/>
      <c r="J11" s="7"/>
    </row>
    <row r="12" spans="2:10" x14ac:dyDescent="0.25">
      <c r="B12" s="7" t="s">
        <v>35</v>
      </c>
      <c r="C12" s="7"/>
      <c r="D12" s="7"/>
      <c r="E12" s="7"/>
      <c r="F12" s="7"/>
      <c r="G12" s="7"/>
      <c r="H12" s="7"/>
      <c r="I12" s="7"/>
      <c r="J12" s="7"/>
    </row>
    <row r="13" spans="2:10" x14ac:dyDescent="0.25">
      <c r="B13" s="7" t="s">
        <v>36</v>
      </c>
      <c r="C13" s="7"/>
      <c r="D13" s="7"/>
      <c r="E13" s="7"/>
      <c r="F13" s="7"/>
      <c r="G13" s="7"/>
      <c r="H13" s="7"/>
      <c r="I13" s="7"/>
      <c r="J13" s="7"/>
    </row>
    <row r="14" spans="2:10" x14ac:dyDescent="0.25">
      <c r="B14" s="7" t="s">
        <v>37</v>
      </c>
      <c r="C14" s="7"/>
      <c r="D14" s="7"/>
      <c r="E14" s="7"/>
      <c r="F14" s="7"/>
      <c r="G14" s="7"/>
      <c r="H14" s="7"/>
      <c r="I14" s="7"/>
      <c r="J14" s="7"/>
    </row>
    <row r="15" spans="2:10" x14ac:dyDescent="0.25">
      <c r="B15" s="7" t="s">
        <v>38</v>
      </c>
      <c r="C15" s="7"/>
      <c r="D15" s="7"/>
      <c r="E15" s="7"/>
      <c r="F15" s="7"/>
      <c r="G15" s="7"/>
      <c r="H15" s="7"/>
      <c r="I15" s="7"/>
      <c r="J15" s="7"/>
    </row>
    <row r="16" spans="2:10" x14ac:dyDescent="0.25">
      <c r="B16" s="7" t="s">
        <v>39</v>
      </c>
      <c r="C16" s="7"/>
      <c r="D16" s="7"/>
      <c r="E16" s="7"/>
      <c r="F16" s="7"/>
      <c r="G16" s="7"/>
      <c r="H16" s="7"/>
      <c r="I16" s="7"/>
      <c r="J16" s="7"/>
    </row>
    <row r="17" spans="2:10" x14ac:dyDescent="0.25">
      <c r="B17" s="7" t="s">
        <v>40</v>
      </c>
      <c r="C17" s="7"/>
      <c r="D17" s="7"/>
      <c r="E17" s="7"/>
      <c r="F17" s="7"/>
      <c r="G17" s="7"/>
      <c r="H17" s="7"/>
      <c r="I17" s="7"/>
      <c r="J17" s="7"/>
    </row>
    <row r="18" spans="2:10" x14ac:dyDescent="0.25">
      <c r="B18" s="7" t="s">
        <v>41</v>
      </c>
      <c r="C18" s="7"/>
      <c r="D18" s="7"/>
      <c r="E18" s="7"/>
      <c r="F18" s="7"/>
      <c r="G18" s="7"/>
      <c r="H18" s="7"/>
      <c r="I18" s="7"/>
      <c r="J18" s="7"/>
    </row>
    <row r="19" spans="2:10" x14ac:dyDescent="0.25">
      <c r="B19" s="7" t="s">
        <v>42</v>
      </c>
      <c r="C19" s="7"/>
      <c r="D19" s="7"/>
      <c r="E19" s="7"/>
      <c r="F19" s="7"/>
      <c r="G19" s="7"/>
      <c r="H19" s="7"/>
      <c r="I19" s="7"/>
      <c r="J19" s="7"/>
    </row>
    <row r="20" spans="2:10" x14ac:dyDescent="0.25">
      <c r="B20" s="7" t="s">
        <v>43</v>
      </c>
      <c r="C20" s="7"/>
      <c r="D20" s="7"/>
      <c r="E20" s="7"/>
      <c r="F20" s="7"/>
      <c r="G20" s="7"/>
      <c r="H20" s="7"/>
      <c r="I20" s="7"/>
      <c r="J20" s="7"/>
    </row>
  </sheetData>
  <mergeCells count="4">
    <mergeCell ref="B2:J3"/>
    <mergeCell ref="B4:J4"/>
    <mergeCell ref="B5:J5"/>
    <mergeCell ref="B6:J6"/>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8B29B-CAAC-B24A-BCE9-FD1304866CE3}">
  <dimension ref="B1:J60"/>
  <sheetViews>
    <sheetView showGridLines="0" workbookViewId="0">
      <selection sqref="A1:XFD1048576"/>
    </sheetView>
  </sheetViews>
  <sheetFormatPr defaultColWidth="9.125" defaultRowHeight="15" x14ac:dyDescent="0.25"/>
  <cols>
    <col min="1" max="1" width="3.375" style="1" customWidth="1"/>
    <col min="2" max="2" width="19" style="1" bestFit="1" customWidth="1"/>
    <col min="3" max="3" width="20.5" style="1" customWidth="1"/>
    <col min="4" max="4" width="15.875" style="1" customWidth="1"/>
    <col min="5" max="5" width="16.5" style="1" customWidth="1"/>
    <col min="6" max="6" width="14.375" style="1" customWidth="1"/>
    <col min="7" max="7" width="17.125" style="1" customWidth="1"/>
    <col min="8" max="9" width="12" style="1" customWidth="1"/>
    <col min="10" max="10" width="32.625" style="1" customWidth="1"/>
    <col min="11" max="16384" width="9.125" style="1"/>
  </cols>
  <sheetData>
    <row r="1" spans="2:10" ht="5.25" customHeight="1" x14ac:dyDescent="0.25"/>
    <row r="2" spans="2:10" ht="15" customHeight="1" x14ac:dyDescent="0.25">
      <c r="B2" s="126" t="s">
        <v>44</v>
      </c>
      <c r="C2" s="126"/>
      <c r="D2" s="126"/>
      <c r="E2" s="126"/>
      <c r="F2" s="126"/>
      <c r="G2" s="126"/>
      <c r="H2" s="126"/>
      <c r="I2" s="126"/>
      <c r="J2" s="126"/>
    </row>
    <row r="3" spans="2:10" ht="18" customHeight="1" x14ac:dyDescent="0.25">
      <c r="B3" s="126"/>
      <c r="C3" s="126"/>
      <c r="D3" s="126"/>
      <c r="E3" s="126"/>
      <c r="F3" s="126"/>
      <c r="G3" s="126"/>
      <c r="H3" s="126"/>
      <c r="I3" s="126"/>
      <c r="J3" s="126"/>
    </row>
    <row r="4" spans="2:10" ht="34.5" customHeight="1" x14ac:dyDescent="0.25">
      <c r="B4" s="121" t="s">
        <v>45</v>
      </c>
      <c r="C4" s="121"/>
      <c r="D4" s="121"/>
      <c r="E4" s="121"/>
      <c r="F4" s="121"/>
      <c r="G4" s="121"/>
      <c r="H4" s="121"/>
      <c r="I4" s="121"/>
      <c r="J4" s="121"/>
    </row>
    <row r="5" spans="2:10" x14ac:dyDescent="0.25">
      <c r="B5" s="127" t="s">
        <v>46</v>
      </c>
      <c r="C5" s="127"/>
      <c r="D5" s="127"/>
      <c r="E5" s="127"/>
      <c r="F5" s="127"/>
      <c r="G5" s="127"/>
      <c r="H5" s="127"/>
      <c r="I5" s="127"/>
      <c r="J5" s="127"/>
    </row>
    <row r="6" spans="2:10" x14ac:dyDescent="0.25">
      <c r="B6" s="124" t="s">
        <v>47</v>
      </c>
      <c r="C6" s="124"/>
      <c r="D6" s="124"/>
      <c r="E6" s="124"/>
      <c r="F6" s="124"/>
      <c r="G6" s="124"/>
      <c r="H6" s="124"/>
      <c r="I6" s="124"/>
      <c r="J6" s="124"/>
    </row>
    <row r="7" spans="2:10" x14ac:dyDescent="0.25">
      <c r="B7" s="6"/>
      <c r="C7" s="6"/>
      <c r="D7" s="6"/>
      <c r="E7" s="6"/>
      <c r="F7" s="6"/>
      <c r="G7" s="6"/>
      <c r="H7" s="6"/>
      <c r="I7" s="6"/>
    </row>
    <row r="8" spans="2:10" x14ac:dyDescent="0.25">
      <c r="B8" s="127" t="s">
        <v>48</v>
      </c>
      <c r="C8" s="127"/>
      <c r="D8" s="127"/>
      <c r="E8" s="127"/>
      <c r="F8" s="127"/>
      <c r="G8" s="127"/>
      <c r="H8" s="127"/>
      <c r="I8" s="127"/>
      <c r="J8" s="127"/>
    </row>
    <row r="9" spans="2:10" ht="30.75" customHeight="1" x14ac:dyDescent="0.25">
      <c r="B9" s="124" t="s">
        <v>49</v>
      </c>
      <c r="C9" s="125"/>
      <c r="D9" s="125"/>
      <c r="E9" s="125"/>
      <c r="F9" s="125"/>
      <c r="G9" s="125"/>
      <c r="H9" s="125"/>
      <c r="I9" s="125"/>
      <c r="J9" s="125"/>
    </row>
    <row r="10" spans="2:10" x14ac:dyDescent="0.25">
      <c r="C10" s="6"/>
      <c r="D10" s="6"/>
      <c r="E10" s="6"/>
      <c r="F10" s="6"/>
      <c r="G10" s="6"/>
      <c r="H10" s="6"/>
      <c r="I10" s="6"/>
    </row>
    <row r="11" spans="2:10" x14ac:dyDescent="0.25">
      <c r="B11" s="127" t="s">
        <v>50</v>
      </c>
      <c r="C11" s="127"/>
      <c r="D11" s="127"/>
      <c r="E11" s="127"/>
      <c r="F11" s="127"/>
      <c r="G11" s="127"/>
      <c r="H11" s="127"/>
      <c r="I11" s="127"/>
      <c r="J11" s="127"/>
    </row>
    <row r="12" spans="2:10" x14ac:dyDescent="0.25">
      <c r="B12" s="124" t="s">
        <v>51</v>
      </c>
      <c r="C12" s="124"/>
      <c r="D12" s="124"/>
      <c r="E12" s="124"/>
      <c r="F12" s="124"/>
      <c r="G12" s="124"/>
      <c r="H12" s="124"/>
      <c r="I12" s="124"/>
      <c r="J12" s="124"/>
    </row>
    <row r="13" spans="2:10" x14ac:dyDescent="0.25">
      <c r="C13" s="6"/>
      <c r="D13" s="6"/>
      <c r="E13" s="6"/>
      <c r="F13" s="6"/>
      <c r="G13" s="6"/>
      <c r="H13" s="6"/>
      <c r="I13" s="6"/>
    </row>
    <row r="14" spans="2:10" x14ac:dyDescent="0.25">
      <c r="B14" s="127" t="s">
        <v>52</v>
      </c>
      <c r="C14" s="127"/>
      <c r="D14" s="127"/>
      <c r="E14" s="127"/>
      <c r="F14" s="127"/>
      <c r="G14" s="127"/>
      <c r="H14" s="127"/>
      <c r="I14" s="127"/>
      <c r="J14" s="127"/>
    </row>
    <row r="15" spans="2:10" x14ac:dyDescent="0.25">
      <c r="B15" s="124" t="s">
        <v>53</v>
      </c>
      <c r="C15" s="124"/>
      <c r="D15" s="124"/>
      <c r="E15" s="124"/>
      <c r="F15" s="124"/>
      <c r="G15" s="124"/>
      <c r="H15" s="124"/>
      <c r="I15" s="124"/>
      <c r="J15" s="124"/>
    </row>
    <row r="16" spans="2:10" x14ac:dyDescent="0.25">
      <c r="B16" s="10"/>
    </row>
    <row r="17" spans="2:10" x14ac:dyDescent="0.25">
      <c r="B17" s="127" t="s">
        <v>54</v>
      </c>
      <c r="C17" s="127"/>
      <c r="D17" s="127"/>
      <c r="E17" s="127"/>
      <c r="F17" s="127"/>
      <c r="G17" s="127"/>
      <c r="H17" s="127"/>
      <c r="I17" s="127"/>
      <c r="J17" s="127"/>
    </row>
    <row r="18" spans="2:10" x14ac:dyDescent="0.25">
      <c r="B18" s="124" t="s">
        <v>55</v>
      </c>
      <c r="C18" s="124"/>
      <c r="D18" s="124"/>
      <c r="E18" s="124"/>
      <c r="F18" s="124"/>
      <c r="G18" s="124"/>
      <c r="H18" s="124"/>
      <c r="I18" s="124"/>
      <c r="J18" s="124"/>
    </row>
    <row r="20" spans="2:10" x14ac:dyDescent="0.25">
      <c r="B20" s="127" t="s">
        <v>56</v>
      </c>
      <c r="C20" s="127"/>
      <c r="D20" s="127"/>
      <c r="E20" s="127"/>
      <c r="F20" s="127"/>
      <c r="G20" s="127"/>
      <c r="H20" s="127"/>
      <c r="I20" s="127"/>
      <c r="J20" s="127"/>
    </row>
    <row r="21" spans="2:10" x14ac:dyDescent="0.25">
      <c r="B21" s="124" t="s">
        <v>57</v>
      </c>
      <c r="C21" s="124"/>
      <c r="D21" s="124"/>
      <c r="E21" s="124"/>
      <c r="F21" s="124"/>
      <c r="G21" s="124"/>
      <c r="H21" s="124"/>
      <c r="I21" s="124"/>
      <c r="J21" s="124"/>
    </row>
    <row r="23" spans="2:10" ht="15" customHeight="1" x14ac:dyDescent="0.25">
      <c r="B23" s="127" t="s">
        <v>58</v>
      </c>
      <c r="C23" s="127"/>
      <c r="D23" s="127"/>
      <c r="E23" s="127"/>
      <c r="F23" s="127"/>
      <c r="G23" s="127"/>
      <c r="H23" s="127"/>
      <c r="I23" s="127"/>
      <c r="J23" s="127"/>
    </row>
    <row r="24" spans="2:10" x14ac:dyDescent="0.25">
      <c r="B24" s="124" t="s">
        <v>59</v>
      </c>
      <c r="C24" s="124"/>
      <c r="D24" s="124"/>
      <c r="E24" s="124"/>
      <c r="F24" s="124"/>
      <c r="G24" s="124"/>
      <c r="H24" s="124"/>
      <c r="I24" s="124"/>
      <c r="J24" s="124"/>
    </row>
    <row r="26" spans="2:10" x14ac:dyDescent="0.25">
      <c r="B26" s="127" t="s">
        <v>60</v>
      </c>
      <c r="C26" s="127"/>
      <c r="D26" s="127"/>
      <c r="E26" s="127"/>
      <c r="F26" s="127"/>
      <c r="G26" s="127"/>
      <c r="H26" s="127"/>
      <c r="I26" s="127"/>
      <c r="J26" s="127"/>
    </row>
    <row r="27" spans="2:10" x14ac:dyDescent="0.25">
      <c r="B27" s="124" t="s">
        <v>61</v>
      </c>
      <c r="C27" s="124"/>
      <c r="D27" s="124"/>
      <c r="E27" s="124"/>
      <c r="F27" s="124"/>
      <c r="G27" s="124"/>
      <c r="H27" s="124"/>
      <c r="I27" s="124"/>
      <c r="J27" s="124"/>
    </row>
    <row r="29" spans="2:10" x14ac:dyDescent="0.25">
      <c r="B29" s="127" t="s">
        <v>62</v>
      </c>
      <c r="C29" s="127"/>
      <c r="D29" s="127"/>
      <c r="E29" s="127"/>
      <c r="F29" s="127"/>
      <c r="G29" s="127"/>
      <c r="H29" s="127"/>
      <c r="I29" s="127"/>
      <c r="J29" s="127"/>
    </row>
    <row r="30" spans="2:10" x14ac:dyDescent="0.25">
      <c r="B30" s="124" t="s">
        <v>63</v>
      </c>
      <c r="C30" s="124"/>
      <c r="D30" s="124"/>
      <c r="E30" s="124"/>
      <c r="F30" s="124"/>
      <c r="G30" s="124"/>
      <c r="H30" s="124"/>
      <c r="I30" s="124"/>
      <c r="J30" s="124"/>
    </row>
    <row r="32" spans="2:10" x14ac:dyDescent="0.25">
      <c r="B32" s="127" t="s">
        <v>64</v>
      </c>
      <c r="C32" s="127"/>
      <c r="D32" s="127"/>
      <c r="E32" s="127"/>
      <c r="F32" s="127"/>
      <c r="G32" s="127"/>
      <c r="H32" s="127"/>
      <c r="I32" s="127"/>
      <c r="J32" s="127"/>
    </row>
    <row r="33" spans="2:10" x14ac:dyDescent="0.25">
      <c r="B33" s="121" t="s">
        <v>65</v>
      </c>
      <c r="C33" s="121"/>
      <c r="D33" s="121"/>
      <c r="E33" s="121"/>
      <c r="F33" s="121"/>
      <c r="G33" s="121"/>
      <c r="H33" s="121"/>
      <c r="I33" s="121"/>
      <c r="J33" s="121"/>
    </row>
    <row r="35" spans="2:10" x14ac:dyDescent="0.25">
      <c r="B35" s="127" t="s">
        <v>66</v>
      </c>
      <c r="C35" s="127"/>
      <c r="D35" s="127"/>
      <c r="E35" s="127"/>
      <c r="F35" s="127"/>
      <c r="G35" s="127"/>
      <c r="H35" s="127"/>
      <c r="I35" s="127"/>
      <c r="J35" s="127"/>
    </row>
    <row r="36" spans="2:10" x14ac:dyDescent="0.25">
      <c r="B36" s="121" t="s">
        <v>67</v>
      </c>
      <c r="C36" s="121"/>
      <c r="D36" s="121"/>
      <c r="E36" s="121"/>
      <c r="F36" s="121"/>
      <c r="G36" s="121"/>
      <c r="H36" s="121"/>
      <c r="I36" s="121"/>
      <c r="J36" s="121"/>
    </row>
    <row r="38" spans="2:10" x14ac:dyDescent="0.25">
      <c r="B38" s="127" t="s">
        <v>68</v>
      </c>
      <c r="C38" s="127"/>
      <c r="D38" s="127"/>
      <c r="E38" s="127"/>
      <c r="F38" s="127"/>
      <c r="G38" s="127"/>
      <c r="H38" s="127"/>
      <c r="I38" s="127"/>
      <c r="J38" s="127"/>
    </row>
    <row r="39" spans="2:10" ht="32.25" customHeight="1" x14ac:dyDescent="0.25">
      <c r="B39" s="121" t="s">
        <v>69</v>
      </c>
      <c r="C39" s="121"/>
      <c r="D39" s="121"/>
      <c r="E39" s="121"/>
      <c r="F39" s="121"/>
      <c r="G39" s="121"/>
      <c r="H39" s="121"/>
      <c r="I39" s="121"/>
      <c r="J39" s="121"/>
    </row>
    <row r="41" spans="2:10" x14ac:dyDescent="0.25">
      <c r="B41" s="127" t="s">
        <v>70</v>
      </c>
      <c r="C41" s="127"/>
      <c r="D41" s="127"/>
      <c r="E41" s="127"/>
      <c r="F41" s="127"/>
      <c r="G41" s="127"/>
      <c r="H41" s="127"/>
      <c r="I41" s="127"/>
      <c r="J41" s="127"/>
    </row>
    <row r="42" spans="2:10" x14ac:dyDescent="0.25">
      <c r="B42" s="121" t="s">
        <v>71</v>
      </c>
      <c r="C42" s="121"/>
      <c r="D42" s="121"/>
      <c r="E42" s="121"/>
      <c r="F42" s="121"/>
      <c r="G42" s="121"/>
      <c r="H42" s="121"/>
      <c r="I42" s="121"/>
      <c r="J42" s="121"/>
    </row>
    <row r="44" spans="2:10" x14ac:dyDescent="0.25">
      <c r="B44" s="127" t="s">
        <v>72</v>
      </c>
      <c r="C44" s="127"/>
      <c r="D44" s="127"/>
      <c r="E44" s="127"/>
      <c r="F44" s="127"/>
      <c r="G44" s="127"/>
      <c r="H44" s="127"/>
      <c r="I44" s="127"/>
      <c r="J44" s="127"/>
    </row>
    <row r="45" spans="2:10" x14ac:dyDescent="0.25">
      <c r="B45" s="124" t="s">
        <v>73</v>
      </c>
      <c r="C45" s="124"/>
      <c r="D45" s="124"/>
      <c r="E45" s="124"/>
      <c r="F45" s="124"/>
      <c r="G45" s="124"/>
      <c r="H45" s="124"/>
      <c r="I45" s="124"/>
      <c r="J45" s="124"/>
    </row>
    <row r="46" spans="2:10" x14ac:dyDescent="0.25">
      <c r="B46" s="9"/>
    </row>
    <row r="47" spans="2:10" x14ac:dyDescent="0.25">
      <c r="B47" s="127" t="s">
        <v>74</v>
      </c>
      <c r="C47" s="127"/>
      <c r="D47" s="127"/>
      <c r="E47" s="127"/>
      <c r="F47" s="127"/>
      <c r="G47" s="127"/>
      <c r="H47" s="127"/>
      <c r="I47" s="127"/>
      <c r="J47" s="127"/>
    </row>
    <row r="48" spans="2:10" x14ac:dyDescent="0.25">
      <c r="B48" s="124" t="s">
        <v>75</v>
      </c>
      <c r="C48" s="124"/>
      <c r="D48" s="124"/>
      <c r="E48" s="124"/>
      <c r="F48" s="124"/>
      <c r="G48" s="124"/>
      <c r="H48" s="124"/>
      <c r="I48" s="124"/>
      <c r="J48" s="124"/>
    </row>
    <row r="50" spans="2:10" x14ac:dyDescent="0.25">
      <c r="B50" s="127" t="s">
        <v>76</v>
      </c>
      <c r="C50" s="127"/>
      <c r="D50" s="127"/>
      <c r="E50" s="127"/>
      <c r="F50" s="127"/>
      <c r="G50" s="127"/>
      <c r="H50" s="127"/>
      <c r="I50" s="127"/>
      <c r="J50" s="127"/>
    </row>
    <row r="51" spans="2:10" x14ac:dyDescent="0.25">
      <c r="B51" s="124" t="s">
        <v>77</v>
      </c>
      <c r="C51" s="124"/>
      <c r="D51" s="124"/>
      <c r="E51" s="124"/>
      <c r="F51" s="124"/>
      <c r="G51" s="124"/>
      <c r="H51" s="124"/>
      <c r="I51" s="124"/>
      <c r="J51" s="124"/>
    </row>
    <row r="53" spans="2:10" x14ac:dyDescent="0.25">
      <c r="B53" s="127" t="s">
        <v>78</v>
      </c>
      <c r="C53" s="127"/>
      <c r="D53" s="127"/>
      <c r="E53" s="127"/>
      <c r="F53" s="127"/>
      <c r="G53" s="127"/>
      <c r="H53" s="127"/>
      <c r="I53" s="127"/>
      <c r="J53" s="127"/>
    </row>
    <row r="54" spans="2:10" x14ac:dyDescent="0.25">
      <c r="B54" s="124" t="s">
        <v>79</v>
      </c>
      <c r="C54" s="124"/>
      <c r="D54" s="124"/>
      <c r="E54" s="124"/>
      <c r="F54" s="124"/>
      <c r="G54" s="124"/>
      <c r="H54" s="124"/>
      <c r="I54" s="124"/>
      <c r="J54" s="124"/>
    </row>
    <row r="56" spans="2:10" x14ac:dyDescent="0.25">
      <c r="B56" s="127" t="s">
        <v>80</v>
      </c>
      <c r="C56" s="127"/>
      <c r="D56" s="127"/>
      <c r="E56" s="127"/>
      <c r="F56" s="127"/>
      <c r="G56" s="127"/>
      <c r="H56" s="127"/>
      <c r="I56" s="127"/>
      <c r="J56" s="127"/>
    </row>
    <row r="57" spans="2:10" ht="46.5" customHeight="1" x14ac:dyDescent="0.25">
      <c r="B57" s="121" t="s">
        <v>81</v>
      </c>
      <c r="C57" s="121"/>
      <c r="D57" s="121"/>
      <c r="E57" s="121"/>
      <c r="F57" s="121"/>
      <c r="G57" s="121"/>
      <c r="H57" s="121"/>
      <c r="I57" s="121"/>
      <c r="J57" s="121"/>
    </row>
    <row r="59" spans="2:10" x14ac:dyDescent="0.25">
      <c r="B59" s="127" t="s">
        <v>82</v>
      </c>
      <c r="C59" s="127"/>
      <c r="D59" s="127"/>
      <c r="E59" s="127"/>
      <c r="F59" s="127"/>
      <c r="G59" s="127"/>
      <c r="H59" s="127"/>
      <c r="I59" s="127"/>
      <c r="J59" s="127"/>
    </row>
    <row r="60" spans="2:10" ht="39" customHeight="1" x14ac:dyDescent="0.25">
      <c r="B60" s="121" t="s">
        <v>83</v>
      </c>
      <c r="C60" s="121"/>
      <c r="D60" s="121"/>
      <c r="E60" s="121"/>
      <c r="F60" s="121"/>
      <c r="G60" s="121"/>
      <c r="H60" s="121"/>
      <c r="I60" s="121"/>
      <c r="J60" s="121"/>
    </row>
  </sheetData>
  <mergeCells count="40">
    <mergeCell ref="B56:J56"/>
    <mergeCell ref="B57:J57"/>
    <mergeCell ref="B59:J59"/>
    <mergeCell ref="B60:J60"/>
    <mergeCell ref="B47:J47"/>
    <mergeCell ref="B48:J48"/>
    <mergeCell ref="B50:J50"/>
    <mergeCell ref="B51:J51"/>
    <mergeCell ref="B53:J53"/>
    <mergeCell ref="B54:J54"/>
    <mergeCell ref="B45:J45"/>
    <mergeCell ref="B29:J29"/>
    <mergeCell ref="B30:J30"/>
    <mergeCell ref="B32:J32"/>
    <mergeCell ref="B33:J33"/>
    <mergeCell ref="B35:J35"/>
    <mergeCell ref="B36:J36"/>
    <mergeCell ref="B38:J38"/>
    <mergeCell ref="B39:J39"/>
    <mergeCell ref="B41:J41"/>
    <mergeCell ref="B42:J42"/>
    <mergeCell ref="B44:J44"/>
    <mergeCell ref="B27:J27"/>
    <mergeCell ref="B11:J11"/>
    <mergeCell ref="B12:J12"/>
    <mergeCell ref="B14:J14"/>
    <mergeCell ref="B15:J15"/>
    <mergeCell ref="B17:J17"/>
    <mergeCell ref="B18:J18"/>
    <mergeCell ref="B20:J20"/>
    <mergeCell ref="B21:J21"/>
    <mergeCell ref="B23:J23"/>
    <mergeCell ref="B24:J24"/>
    <mergeCell ref="B26:J26"/>
    <mergeCell ref="B9:J9"/>
    <mergeCell ref="B2:J3"/>
    <mergeCell ref="B4:J4"/>
    <mergeCell ref="B5:J5"/>
    <mergeCell ref="B6:J6"/>
    <mergeCell ref="B8:J8"/>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B3400-8733-3B41-AE17-C4B89911827A}">
  <dimension ref="A1:O128"/>
  <sheetViews>
    <sheetView showGridLines="0" topLeftCell="I1" workbookViewId="0">
      <selection activeCell="K8" sqref="K8"/>
    </sheetView>
  </sheetViews>
  <sheetFormatPr defaultColWidth="9.125" defaultRowHeight="12.75" x14ac:dyDescent="0.25"/>
  <cols>
    <col min="1" max="1" width="4.5" style="17" customWidth="1"/>
    <col min="2" max="2" width="17.5" style="69" customWidth="1"/>
    <col min="3" max="3" width="34.375" style="70" customWidth="1"/>
    <col min="4" max="4" width="17.5" style="71" customWidth="1"/>
    <col min="5" max="5" width="61.625" style="17" customWidth="1"/>
    <col min="6" max="6" width="248" style="72" hidden="1" customWidth="1"/>
    <col min="7" max="7" width="53.625" style="72" hidden="1" customWidth="1"/>
    <col min="8" max="8" width="30.375" style="73" customWidth="1"/>
    <col min="9" max="9" width="22" style="74" customWidth="1"/>
    <col min="10" max="10" width="26.875" style="73" customWidth="1"/>
    <col min="11" max="11" width="31.875" style="74" customWidth="1"/>
    <col min="12" max="15" width="9.125" style="16"/>
    <col min="16" max="16384" width="9.125" style="17"/>
  </cols>
  <sheetData>
    <row r="1" spans="1:14" x14ac:dyDescent="0.25">
      <c r="A1" s="9"/>
      <c r="B1" s="11"/>
      <c r="C1" s="6"/>
      <c r="D1" s="12"/>
      <c r="E1" s="9"/>
      <c r="F1" s="13"/>
      <c r="G1" s="13"/>
      <c r="H1" s="14"/>
      <c r="I1" s="11"/>
      <c r="J1" s="14"/>
      <c r="K1" s="11"/>
      <c r="L1" s="15"/>
    </row>
    <row r="2" spans="1:14" ht="12.75" customHeight="1" x14ac:dyDescent="0.25">
      <c r="A2" s="9"/>
      <c r="B2" s="128" t="s">
        <v>84</v>
      </c>
      <c r="C2" s="128"/>
      <c r="D2" s="128"/>
      <c r="E2" s="128"/>
      <c r="F2" s="128"/>
      <c r="G2" s="128"/>
      <c r="H2" s="128"/>
      <c r="I2" s="128"/>
      <c r="J2" s="128"/>
      <c r="K2" s="128"/>
      <c r="L2" s="18"/>
      <c r="M2" s="19"/>
      <c r="N2" s="19"/>
    </row>
    <row r="3" spans="1:14" ht="29.25" customHeight="1" x14ac:dyDescent="0.25">
      <c r="A3" s="9"/>
      <c r="B3" s="128"/>
      <c r="C3" s="128"/>
      <c r="D3" s="128"/>
      <c r="E3" s="128"/>
      <c r="F3" s="128"/>
      <c r="G3" s="128"/>
      <c r="H3" s="128"/>
      <c r="I3" s="128"/>
      <c r="J3" s="128"/>
      <c r="K3" s="128"/>
      <c r="L3" s="18"/>
      <c r="M3" s="19"/>
      <c r="N3" s="19"/>
    </row>
    <row r="4" spans="1:14" s="16" customFormat="1" x14ac:dyDescent="0.25">
      <c r="A4" s="15"/>
      <c r="B4" s="20"/>
      <c r="C4" s="21"/>
      <c r="D4" s="22"/>
      <c r="E4" s="23"/>
      <c r="F4" s="24"/>
      <c r="G4" s="24"/>
      <c r="H4" s="25"/>
      <c r="I4" s="20"/>
      <c r="J4" s="25"/>
      <c r="K4" s="20"/>
      <c r="L4" s="15"/>
    </row>
    <row r="5" spans="1:14" ht="24.75" customHeight="1" x14ac:dyDescent="0.25">
      <c r="A5" s="9"/>
      <c r="B5" s="26" t="s">
        <v>85</v>
      </c>
      <c r="C5" s="27" t="s">
        <v>86</v>
      </c>
      <c r="D5" s="28" t="s">
        <v>87</v>
      </c>
      <c r="E5" s="28" t="s">
        <v>88</v>
      </c>
      <c r="F5" s="29" t="s">
        <v>89</v>
      </c>
      <c r="G5" s="30" t="s">
        <v>90</v>
      </c>
      <c r="H5" s="31" t="s">
        <v>91</v>
      </c>
      <c r="I5" s="32" t="s">
        <v>92</v>
      </c>
      <c r="J5" s="32" t="s">
        <v>93</v>
      </c>
      <c r="K5" s="32" t="s">
        <v>94</v>
      </c>
      <c r="L5" s="15"/>
    </row>
    <row r="6" spans="1:14" ht="12.95" customHeight="1" x14ac:dyDescent="0.25">
      <c r="A6" s="33"/>
      <c r="B6" s="34"/>
      <c r="C6" s="35"/>
      <c r="D6" s="36"/>
      <c r="E6" s="36"/>
      <c r="F6" s="37"/>
      <c r="G6" s="38"/>
      <c r="H6" s="39"/>
      <c r="I6" s="40"/>
      <c r="J6" s="40"/>
      <c r="K6" s="40"/>
      <c r="L6" s="15"/>
    </row>
    <row r="7" spans="1:14" ht="63.75" customHeight="1" x14ac:dyDescent="0.25">
      <c r="A7" s="41"/>
      <c r="B7" s="42">
        <v>1</v>
      </c>
      <c r="C7" s="43" t="s">
        <v>95</v>
      </c>
      <c r="D7" s="44" t="s">
        <v>96</v>
      </c>
      <c r="E7" s="45" t="s">
        <v>97</v>
      </c>
      <c r="F7" s="46" t="s">
        <v>98</v>
      </c>
      <c r="G7" s="46" t="s">
        <v>99</v>
      </c>
      <c r="H7" s="47" t="s">
        <v>100</v>
      </c>
      <c r="I7" s="48" t="s">
        <v>101</v>
      </c>
      <c r="J7" s="47" t="s">
        <v>102</v>
      </c>
      <c r="K7" s="49" t="s">
        <v>103</v>
      </c>
      <c r="L7" s="15"/>
    </row>
    <row r="8" spans="1:14" ht="57.75" customHeight="1" x14ac:dyDescent="0.25">
      <c r="A8" s="41"/>
      <c r="B8" s="42">
        <v>2</v>
      </c>
      <c r="C8" s="43" t="s">
        <v>104</v>
      </c>
      <c r="D8" s="44" t="s">
        <v>105</v>
      </c>
      <c r="E8" s="45" t="s">
        <v>106</v>
      </c>
      <c r="F8" s="46" t="s">
        <v>107</v>
      </c>
      <c r="G8" s="46" t="s">
        <v>99</v>
      </c>
      <c r="H8" s="47" t="s">
        <v>108</v>
      </c>
      <c r="I8" s="48" t="s">
        <v>101</v>
      </c>
      <c r="J8" s="47" t="s">
        <v>102</v>
      </c>
      <c r="K8" s="49" t="s">
        <v>109</v>
      </c>
      <c r="L8" s="15"/>
    </row>
    <row r="9" spans="1:14" ht="49.5" customHeight="1" x14ac:dyDescent="0.25">
      <c r="A9" s="41"/>
      <c r="B9" s="42">
        <v>3</v>
      </c>
      <c r="C9" s="43" t="s">
        <v>104</v>
      </c>
      <c r="D9" s="44" t="s">
        <v>110</v>
      </c>
      <c r="E9" s="45" t="s">
        <v>111</v>
      </c>
      <c r="F9" s="46" t="s">
        <v>107</v>
      </c>
      <c r="G9" s="46" t="s">
        <v>99</v>
      </c>
      <c r="H9" s="47" t="s">
        <v>112</v>
      </c>
      <c r="I9" s="48" t="s">
        <v>101</v>
      </c>
      <c r="J9" s="47" t="s">
        <v>102</v>
      </c>
      <c r="K9" s="49" t="s">
        <v>109</v>
      </c>
      <c r="L9" s="15"/>
    </row>
    <row r="10" spans="1:14" ht="25.5" x14ac:dyDescent="0.25">
      <c r="A10" s="41"/>
      <c r="B10" s="129">
        <v>4</v>
      </c>
      <c r="C10" s="132" t="s">
        <v>95</v>
      </c>
      <c r="D10" s="44" t="s">
        <v>105</v>
      </c>
      <c r="E10" s="45" t="s">
        <v>113</v>
      </c>
      <c r="F10" s="135" t="s">
        <v>114</v>
      </c>
      <c r="G10" s="135" t="s">
        <v>99</v>
      </c>
      <c r="H10" s="51" t="s">
        <v>115</v>
      </c>
      <c r="I10" s="48"/>
      <c r="J10" s="47"/>
      <c r="K10" s="47"/>
      <c r="L10" s="15"/>
    </row>
    <row r="11" spans="1:14" ht="38.25" x14ac:dyDescent="0.25">
      <c r="A11" s="41"/>
      <c r="B11" s="130"/>
      <c r="C11" s="133"/>
      <c r="D11" s="138" t="s">
        <v>116</v>
      </c>
      <c r="E11" s="45" t="s">
        <v>117</v>
      </c>
      <c r="F11" s="136"/>
      <c r="G11" s="136"/>
      <c r="H11" s="52"/>
      <c r="I11" s="48" t="s">
        <v>101</v>
      </c>
      <c r="J11" s="47" t="s">
        <v>102</v>
      </c>
      <c r="K11" s="47" t="s">
        <v>118</v>
      </c>
      <c r="L11" s="15"/>
    </row>
    <row r="12" spans="1:14" ht="25.5" x14ac:dyDescent="0.25">
      <c r="A12" s="41"/>
      <c r="B12" s="130"/>
      <c r="C12" s="133"/>
      <c r="D12" s="139"/>
      <c r="E12" s="45" t="s">
        <v>119</v>
      </c>
      <c r="F12" s="136"/>
      <c r="G12" s="136"/>
      <c r="H12" s="52"/>
      <c r="I12" s="48" t="s">
        <v>101</v>
      </c>
      <c r="J12" s="47" t="s">
        <v>102</v>
      </c>
      <c r="K12" s="47" t="s">
        <v>118</v>
      </c>
      <c r="L12" s="15"/>
    </row>
    <row r="13" spans="1:14" ht="38.25" x14ac:dyDescent="0.25">
      <c r="A13" s="41"/>
      <c r="B13" s="130"/>
      <c r="C13" s="133"/>
      <c r="D13" s="139"/>
      <c r="E13" s="45" t="s">
        <v>120</v>
      </c>
      <c r="F13" s="136"/>
      <c r="G13" s="136"/>
      <c r="H13" s="52"/>
      <c r="I13" s="48" t="s">
        <v>101</v>
      </c>
      <c r="J13" s="47" t="s">
        <v>102</v>
      </c>
      <c r="K13" s="47" t="s">
        <v>118</v>
      </c>
      <c r="L13" s="15"/>
    </row>
    <row r="14" spans="1:14" ht="25.5" x14ac:dyDescent="0.25">
      <c r="A14" s="41"/>
      <c r="B14" s="130"/>
      <c r="C14" s="133"/>
      <c r="D14" s="139"/>
      <c r="E14" s="45" t="s">
        <v>121</v>
      </c>
      <c r="F14" s="136"/>
      <c r="G14" s="136"/>
      <c r="H14" s="52"/>
      <c r="I14" s="48" t="s">
        <v>101</v>
      </c>
      <c r="J14" s="47" t="s">
        <v>102</v>
      </c>
      <c r="K14" s="47" t="s">
        <v>122</v>
      </c>
      <c r="L14" s="15"/>
    </row>
    <row r="15" spans="1:14" ht="38.25" x14ac:dyDescent="0.25">
      <c r="A15" s="41"/>
      <c r="B15" s="130"/>
      <c r="C15" s="133"/>
      <c r="D15" s="139"/>
      <c r="E15" s="45" t="s">
        <v>123</v>
      </c>
      <c r="F15" s="136"/>
      <c r="G15" s="136"/>
      <c r="H15" s="52"/>
      <c r="I15" s="48" t="s">
        <v>101</v>
      </c>
      <c r="J15" s="47" t="s">
        <v>102</v>
      </c>
      <c r="K15" s="47" t="s">
        <v>122</v>
      </c>
      <c r="L15" s="15"/>
    </row>
    <row r="16" spans="1:14" ht="38.25" x14ac:dyDescent="0.25">
      <c r="A16" s="41"/>
      <c r="B16" s="130"/>
      <c r="C16" s="133"/>
      <c r="D16" s="139"/>
      <c r="E16" s="45" t="s">
        <v>124</v>
      </c>
      <c r="F16" s="136"/>
      <c r="G16" s="136"/>
      <c r="H16" s="52"/>
      <c r="I16" s="48" t="s">
        <v>101</v>
      </c>
      <c r="J16" s="47" t="s">
        <v>102</v>
      </c>
      <c r="K16" s="47" t="s">
        <v>118</v>
      </c>
      <c r="L16" s="15"/>
    </row>
    <row r="17" spans="1:12" ht="51" x14ac:dyDescent="0.25">
      <c r="A17" s="41"/>
      <c r="B17" s="130"/>
      <c r="C17" s="133"/>
      <c r="D17" s="139"/>
      <c r="E17" s="45" t="s">
        <v>125</v>
      </c>
      <c r="F17" s="136"/>
      <c r="G17" s="136"/>
      <c r="H17" s="52"/>
      <c r="I17" s="48" t="s">
        <v>101</v>
      </c>
      <c r="J17" s="47" t="s">
        <v>102</v>
      </c>
      <c r="K17" s="47" t="s">
        <v>126</v>
      </c>
      <c r="L17" s="15"/>
    </row>
    <row r="18" spans="1:12" ht="51" x14ac:dyDescent="0.25">
      <c r="A18" s="41"/>
      <c r="B18" s="130"/>
      <c r="C18" s="133"/>
      <c r="D18" s="139"/>
      <c r="E18" s="45" t="s">
        <v>127</v>
      </c>
      <c r="F18" s="136"/>
      <c r="G18" s="136"/>
      <c r="H18" s="52"/>
      <c r="I18" s="48" t="s">
        <v>101</v>
      </c>
      <c r="J18" s="47" t="s">
        <v>102</v>
      </c>
      <c r="K18" s="47" t="s">
        <v>126</v>
      </c>
      <c r="L18" s="15"/>
    </row>
    <row r="19" spans="1:12" ht="38.25" x14ac:dyDescent="0.25">
      <c r="A19" s="41"/>
      <c r="B19" s="130"/>
      <c r="C19" s="133"/>
      <c r="D19" s="139"/>
      <c r="E19" s="45" t="s">
        <v>128</v>
      </c>
      <c r="F19" s="136"/>
      <c r="G19" s="136"/>
      <c r="H19" s="52"/>
      <c r="I19" s="48" t="s">
        <v>101</v>
      </c>
      <c r="J19" s="47" t="s">
        <v>130</v>
      </c>
      <c r="K19" s="47" t="s">
        <v>131</v>
      </c>
      <c r="L19" s="15"/>
    </row>
    <row r="20" spans="1:12" ht="51" x14ac:dyDescent="0.25">
      <c r="A20" s="41"/>
      <c r="B20" s="131"/>
      <c r="C20" s="134"/>
      <c r="D20" s="140"/>
      <c r="E20" s="45" t="s">
        <v>132</v>
      </c>
      <c r="F20" s="137"/>
      <c r="G20" s="137"/>
      <c r="H20" s="53"/>
      <c r="I20" s="48" t="s">
        <v>101</v>
      </c>
      <c r="J20" s="47" t="s">
        <v>130</v>
      </c>
      <c r="K20" s="47" t="s">
        <v>133</v>
      </c>
      <c r="L20" s="15"/>
    </row>
    <row r="21" spans="1:12" ht="50.25" customHeight="1" x14ac:dyDescent="0.25">
      <c r="A21" s="41"/>
      <c r="B21" s="129">
        <v>5</v>
      </c>
      <c r="C21" s="141" t="s">
        <v>134</v>
      </c>
      <c r="D21" s="44" t="s">
        <v>105</v>
      </c>
      <c r="E21" s="45" t="s">
        <v>135</v>
      </c>
      <c r="F21" s="46" t="s">
        <v>114</v>
      </c>
      <c r="G21" s="46" t="s">
        <v>99</v>
      </c>
      <c r="H21" s="54" t="s">
        <v>136</v>
      </c>
      <c r="I21" s="48" t="s">
        <v>129</v>
      </c>
      <c r="J21" s="47" t="s">
        <v>130</v>
      </c>
      <c r="K21" s="47" t="s">
        <v>137</v>
      </c>
      <c r="L21" s="15"/>
    </row>
    <row r="22" spans="1:12" ht="52.5" customHeight="1" x14ac:dyDescent="0.25">
      <c r="A22" s="41"/>
      <c r="B22" s="130"/>
      <c r="C22" s="143"/>
      <c r="D22" s="44" t="s">
        <v>138</v>
      </c>
      <c r="E22" s="45" t="s">
        <v>139</v>
      </c>
      <c r="F22" s="46" t="s">
        <v>114</v>
      </c>
      <c r="G22" s="46" t="s">
        <v>99</v>
      </c>
      <c r="H22" s="54" t="s">
        <v>140</v>
      </c>
      <c r="I22" s="48" t="s">
        <v>129</v>
      </c>
      <c r="J22" s="47" t="s">
        <v>130</v>
      </c>
      <c r="K22" s="48" t="s">
        <v>141</v>
      </c>
      <c r="L22" s="15"/>
    </row>
    <row r="23" spans="1:12" ht="59.25" customHeight="1" x14ac:dyDescent="0.25">
      <c r="A23" s="41"/>
      <c r="B23" s="131"/>
      <c r="C23" s="142"/>
      <c r="D23" s="44" t="s">
        <v>142</v>
      </c>
      <c r="E23" s="45" t="s">
        <v>143</v>
      </c>
      <c r="F23" s="46" t="s">
        <v>144</v>
      </c>
      <c r="G23" s="46" t="s">
        <v>99</v>
      </c>
      <c r="H23" s="54" t="s">
        <v>140</v>
      </c>
      <c r="I23" s="48" t="s">
        <v>129</v>
      </c>
      <c r="J23" s="47" t="s">
        <v>130</v>
      </c>
      <c r="K23" s="48" t="s">
        <v>141</v>
      </c>
      <c r="L23" s="15"/>
    </row>
    <row r="24" spans="1:12" ht="87" customHeight="1" x14ac:dyDescent="0.25">
      <c r="A24" s="41"/>
      <c r="B24" s="129">
        <v>6</v>
      </c>
      <c r="C24" s="132" t="s">
        <v>145</v>
      </c>
      <c r="D24" s="44" t="s">
        <v>105</v>
      </c>
      <c r="E24" s="45" t="s">
        <v>146</v>
      </c>
      <c r="F24" s="46" t="s">
        <v>147</v>
      </c>
      <c r="G24" s="46" t="s">
        <v>148</v>
      </c>
      <c r="H24" s="54" t="s">
        <v>149</v>
      </c>
      <c r="I24" s="48" t="s">
        <v>129</v>
      </c>
      <c r="J24" s="47" t="s">
        <v>130</v>
      </c>
      <c r="K24" s="47" t="s">
        <v>150</v>
      </c>
      <c r="L24" s="15"/>
    </row>
    <row r="25" spans="1:12" ht="61.5" customHeight="1" x14ac:dyDescent="0.25">
      <c r="A25" s="41"/>
      <c r="B25" s="130"/>
      <c r="C25" s="133"/>
      <c r="D25" s="44" t="s">
        <v>138</v>
      </c>
      <c r="E25" s="45" t="s">
        <v>151</v>
      </c>
      <c r="F25" s="46" t="s">
        <v>144</v>
      </c>
      <c r="G25" s="46" t="s">
        <v>99</v>
      </c>
      <c r="H25" s="54" t="s">
        <v>140</v>
      </c>
      <c r="I25" s="48" t="s">
        <v>129</v>
      </c>
      <c r="J25" s="47" t="s">
        <v>130</v>
      </c>
      <c r="K25" s="48" t="s">
        <v>141</v>
      </c>
      <c r="L25" s="15"/>
    </row>
    <row r="26" spans="1:12" ht="52.5" customHeight="1" x14ac:dyDescent="0.25">
      <c r="A26" s="41"/>
      <c r="B26" s="130"/>
      <c r="C26" s="133"/>
      <c r="D26" s="44" t="s">
        <v>152</v>
      </c>
      <c r="E26" s="55" t="s">
        <v>153</v>
      </c>
      <c r="F26" s="46" t="s">
        <v>147</v>
      </c>
      <c r="G26" s="46" t="s">
        <v>148</v>
      </c>
      <c r="H26" s="54" t="s">
        <v>140</v>
      </c>
      <c r="I26" s="48" t="s">
        <v>129</v>
      </c>
      <c r="J26" s="47" t="s">
        <v>130</v>
      </c>
      <c r="K26" s="48" t="s">
        <v>141</v>
      </c>
      <c r="L26" s="15"/>
    </row>
    <row r="27" spans="1:12" ht="37.5" customHeight="1" x14ac:dyDescent="0.25">
      <c r="A27" s="41"/>
      <c r="B27" s="131"/>
      <c r="C27" s="134"/>
      <c r="D27" s="44" t="s">
        <v>105</v>
      </c>
      <c r="E27" s="45" t="s">
        <v>154</v>
      </c>
      <c r="F27" s="46" t="s">
        <v>155</v>
      </c>
      <c r="G27" s="46" t="s">
        <v>156</v>
      </c>
      <c r="H27" s="47" t="s">
        <v>157</v>
      </c>
      <c r="I27" s="48" t="s">
        <v>129</v>
      </c>
      <c r="J27" s="47" t="s">
        <v>130</v>
      </c>
      <c r="K27" s="48" t="s">
        <v>141</v>
      </c>
      <c r="L27" s="15"/>
    </row>
    <row r="28" spans="1:12" ht="66" customHeight="1" x14ac:dyDescent="0.25">
      <c r="A28" s="41"/>
      <c r="B28" s="129">
        <v>7</v>
      </c>
      <c r="C28" s="132" t="s">
        <v>158</v>
      </c>
      <c r="D28" s="44" t="s">
        <v>105</v>
      </c>
      <c r="E28" s="45" t="s">
        <v>159</v>
      </c>
      <c r="F28" s="46" t="s">
        <v>160</v>
      </c>
      <c r="G28" s="46" t="s">
        <v>161</v>
      </c>
      <c r="H28" s="54" t="s">
        <v>162</v>
      </c>
      <c r="I28" s="48" t="s">
        <v>129</v>
      </c>
      <c r="J28" s="47" t="s">
        <v>130</v>
      </c>
      <c r="K28" s="47" t="s">
        <v>163</v>
      </c>
      <c r="L28" s="15"/>
    </row>
    <row r="29" spans="1:12" ht="79.5" customHeight="1" x14ac:dyDescent="0.25">
      <c r="A29" s="41"/>
      <c r="B29" s="130"/>
      <c r="C29" s="133"/>
      <c r="D29" s="44" t="s">
        <v>138</v>
      </c>
      <c r="E29" s="45" t="s">
        <v>164</v>
      </c>
      <c r="F29" s="46" t="s">
        <v>165</v>
      </c>
      <c r="G29" s="46" t="s">
        <v>166</v>
      </c>
      <c r="H29" s="54" t="s">
        <v>162</v>
      </c>
      <c r="I29" s="48" t="s">
        <v>129</v>
      </c>
      <c r="J29" s="47" t="s">
        <v>130</v>
      </c>
      <c r="K29" s="47" t="s">
        <v>163</v>
      </c>
      <c r="L29" s="15"/>
    </row>
    <row r="30" spans="1:12" ht="68.25" customHeight="1" x14ac:dyDescent="0.25">
      <c r="A30" s="41"/>
      <c r="B30" s="130"/>
      <c r="C30" s="133"/>
      <c r="D30" s="44" t="s">
        <v>105</v>
      </c>
      <c r="E30" s="45" t="s">
        <v>167</v>
      </c>
      <c r="F30" s="46" t="s">
        <v>168</v>
      </c>
      <c r="G30" s="46" t="s">
        <v>169</v>
      </c>
      <c r="H30" s="47" t="s">
        <v>170</v>
      </c>
      <c r="I30" s="48" t="s">
        <v>129</v>
      </c>
      <c r="J30" s="47" t="s">
        <v>130</v>
      </c>
      <c r="K30" s="47" t="s">
        <v>171</v>
      </c>
      <c r="L30" s="15"/>
    </row>
    <row r="31" spans="1:12" ht="63.75" customHeight="1" x14ac:dyDescent="0.25">
      <c r="A31" s="41"/>
      <c r="B31" s="130"/>
      <c r="C31" s="133"/>
      <c r="D31" s="44" t="s">
        <v>105</v>
      </c>
      <c r="E31" s="45" t="s">
        <v>172</v>
      </c>
      <c r="F31" s="46" t="s">
        <v>173</v>
      </c>
      <c r="G31" s="46" t="s">
        <v>169</v>
      </c>
      <c r="H31" s="47" t="s">
        <v>162</v>
      </c>
      <c r="I31" s="48" t="s">
        <v>129</v>
      </c>
      <c r="J31" s="47" t="s">
        <v>130</v>
      </c>
      <c r="K31" s="47" t="s">
        <v>174</v>
      </c>
      <c r="L31" s="15"/>
    </row>
    <row r="32" spans="1:12" ht="57.75" customHeight="1" x14ac:dyDescent="0.25">
      <c r="A32" s="41"/>
      <c r="B32" s="130"/>
      <c r="C32" s="133"/>
      <c r="D32" s="44" t="s">
        <v>105</v>
      </c>
      <c r="E32" s="45" t="s">
        <v>175</v>
      </c>
      <c r="F32" s="46" t="s">
        <v>176</v>
      </c>
      <c r="G32" s="46" t="s">
        <v>169</v>
      </c>
      <c r="H32" s="47" t="s">
        <v>162</v>
      </c>
      <c r="I32" s="48" t="s">
        <v>129</v>
      </c>
      <c r="J32" s="47" t="s">
        <v>130</v>
      </c>
      <c r="K32" s="47" t="s">
        <v>174</v>
      </c>
      <c r="L32" s="15"/>
    </row>
    <row r="33" spans="1:12" ht="39" customHeight="1" x14ac:dyDescent="0.25">
      <c r="A33" s="41"/>
      <c r="B33" s="131"/>
      <c r="C33" s="134"/>
      <c r="D33" s="44" t="s">
        <v>105</v>
      </c>
      <c r="E33" s="45" t="s">
        <v>177</v>
      </c>
      <c r="F33" s="46" t="s">
        <v>178</v>
      </c>
      <c r="G33" s="46" t="s">
        <v>169</v>
      </c>
      <c r="H33" s="47" t="s">
        <v>149</v>
      </c>
      <c r="I33" s="48" t="s">
        <v>129</v>
      </c>
      <c r="J33" s="47" t="s">
        <v>130</v>
      </c>
      <c r="K33" s="47" t="s">
        <v>141</v>
      </c>
      <c r="L33" s="15"/>
    </row>
    <row r="34" spans="1:12" ht="84.75" customHeight="1" x14ac:dyDescent="0.25">
      <c r="A34" s="41"/>
      <c r="B34" s="42">
        <v>8</v>
      </c>
      <c r="C34" s="43" t="s">
        <v>179</v>
      </c>
      <c r="D34" s="44" t="s">
        <v>105</v>
      </c>
      <c r="E34" s="45" t="s">
        <v>180</v>
      </c>
      <c r="F34" s="46" t="s">
        <v>181</v>
      </c>
      <c r="G34" s="46" t="s">
        <v>182</v>
      </c>
      <c r="H34" s="47" t="s">
        <v>183</v>
      </c>
      <c r="I34" s="48" t="s">
        <v>101</v>
      </c>
      <c r="J34" s="47" t="s">
        <v>102</v>
      </c>
      <c r="K34" s="47" t="s">
        <v>184</v>
      </c>
      <c r="L34" s="15"/>
    </row>
    <row r="35" spans="1:12" ht="72" customHeight="1" x14ac:dyDescent="0.25">
      <c r="A35" s="41"/>
      <c r="B35" s="50">
        <v>9</v>
      </c>
      <c r="C35" s="43" t="s">
        <v>185</v>
      </c>
      <c r="D35" s="44" t="s">
        <v>105</v>
      </c>
      <c r="E35" s="45" t="s">
        <v>186</v>
      </c>
      <c r="F35" s="46" t="s">
        <v>187</v>
      </c>
      <c r="G35" s="46" t="s">
        <v>182</v>
      </c>
      <c r="H35" s="47" t="s">
        <v>188</v>
      </c>
      <c r="I35" s="48" t="s">
        <v>129</v>
      </c>
      <c r="J35" s="47" t="s">
        <v>130</v>
      </c>
      <c r="K35" s="47" t="s">
        <v>189</v>
      </c>
      <c r="L35" s="15"/>
    </row>
    <row r="36" spans="1:12" ht="25.5" x14ac:dyDescent="0.25">
      <c r="A36" s="41"/>
      <c r="B36" s="129">
        <v>10</v>
      </c>
      <c r="C36" s="141" t="s">
        <v>179</v>
      </c>
      <c r="D36" s="44" t="s">
        <v>105</v>
      </c>
      <c r="E36" s="45" t="s">
        <v>190</v>
      </c>
      <c r="F36" s="135" t="s">
        <v>191</v>
      </c>
      <c r="G36" s="135" t="s">
        <v>156</v>
      </c>
      <c r="H36" s="56"/>
      <c r="I36" s="48"/>
      <c r="J36" s="47"/>
      <c r="K36" s="48"/>
      <c r="L36" s="15"/>
    </row>
    <row r="37" spans="1:12" ht="38.25" x14ac:dyDescent="0.25">
      <c r="A37" s="41"/>
      <c r="B37" s="130"/>
      <c r="C37" s="143"/>
      <c r="D37" s="138" t="s">
        <v>116</v>
      </c>
      <c r="E37" s="45" t="s">
        <v>192</v>
      </c>
      <c r="F37" s="136"/>
      <c r="G37" s="136"/>
      <c r="H37" s="56" t="s">
        <v>108</v>
      </c>
      <c r="I37" s="48" t="s">
        <v>101</v>
      </c>
      <c r="J37" s="47" t="s">
        <v>102</v>
      </c>
      <c r="K37" s="47" t="s">
        <v>193</v>
      </c>
      <c r="L37" s="15"/>
    </row>
    <row r="38" spans="1:12" ht="38.25" x14ac:dyDescent="0.25">
      <c r="A38" s="41"/>
      <c r="B38" s="131"/>
      <c r="C38" s="142"/>
      <c r="D38" s="140"/>
      <c r="E38" s="45" t="s">
        <v>194</v>
      </c>
      <c r="F38" s="137"/>
      <c r="G38" s="137"/>
      <c r="H38" s="56" t="s">
        <v>108</v>
      </c>
      <c r="I38" s="48" t="s">
        <v>101</v>
      </c>
      <c r="J38" s="47" t="s">
        <v>102</v>
      </c>
      <c r="K38" s="47" t="s">
        <v>193</v>
      </c>
      <c r="L38" s="15"/>
    </row>
    <row r="39" spans="1:12" ht="38.25" x14ac:dyDescent="0.25">
      <c r="A39" s="41"/>
      <c r="B39" s="42">
        <v>11</v>
      </c>
      <c r="C39" s="43" t="s">
        <v>179</v>
      </c>
      <c r="D39" s="44" t="s">
        <v>105</v>
      </c>
      <c r="E39" s="45" t="s">
        <v>195</v>
      </c>
      <c r="F39" s="46" t="s">
        <v>196</v>
      </c>
      <c r="G39" s="46" t="s">
        <v>197</v>
      </c>
      <c r="H39" s="47" t="s">
        <v>149</v>
      </c>
      <c r="I39" s="48" t="s">
        <v>129</v>
      </c>
      <c r="J39" s="47" t="s">
        <v>130</v>
      </c>
      <c r="K39" s="47" t="s">
        <v>193</v>
      </c>
      <c r="L39" s="15"/>
    </row>
    <row r="40" spans="1:12" ht="48" customHeight="1" x14ac:dyDescent="0.25">
      <c r="A40" s="41"/>
      <c r="B40" s="129">
        <v>12</v>
      </c>
      <c r="C40" s="141" t="s">
        <v>198</v>
      </c>
      <c r="D40" s="44" t="s">
        <v>105</v>
      </c>
      <c r="E40" s="57" t="s">
        <v>199</v>
      </c>
      <c r="F40" s="46" t="s">
        <v>200</v>
      </c>
      <c r="G40" s="46" t="s">
        <v>156</v>
      </c>
      <c r="H40" s="47" t="s">
        <v>108</v>
      </c>
      <c r="I40" s="48" t="s">
        <v>129</v>
      </c>
      <c r="J40" s="47" t="s">
        <v>102</v>
      </c>
      <c r="K40" s="47" t="s">
        <v>201</v>
      </c>
      <c r="L40" s="15"/>
    </row>
    <row r="41" spans="1:12" ht="58.5" customHeight="1" x14ac:dyDescent="0.25">
      <c r="A41" s="41"/>
      <c r="B41" s="131"/>
      <c r="C41" s="142"/>
      <c r="D41" s="44" t="s">
        <v>138</v>
      </c>
      <c r="E41" s="57" t="s">
        <v>202</v>
      </c>
      <c r="F41" s="46" t="s">
        <v>200</v>
      </c>
      <c r="G41" s="46" t="s">
        <v>156</v>
      </c>
      <c r="H41" s="47" t="s">
        <v>203</v>
      </c>
      <c r="I41" s="48" t="s">
        <v>129</v>
      </c>
      <c r="J41" s="47" t="s">
        <v>102</v>
      </c>
      <c r="K41" s="47" t="s">
        <v>201</v>
      </c>
      <c r="L41" s="15"/>
    </row>
    <row r="42" spans="1:12" ht="56.25" customHeight="1" x14ac:dyDescent="0.25">
      <c r="A42" s="41"/>
      <c r="B42" s="144">
        <v>13</v>
      </c>
      <c r="C42" s="141" t="s">
        <v>204</v>
      </c>
      <c r="D42" s="44" t="s">
        <v>105</v>
      </c>
      <c r="E42" s="57" t="s">
        <v>205</v>
      </c>
      <c r="F42" s="46" t="s">
        <v>181</v>
      </c>
      <c r="G42" s="46" t="s">
        <v>156</v>
      </c>
      <c r="H42" s="56" t="s">
        <v>149</v>
      </c>
      <c r="I42" s="48" t="s">
        <v>206</v>
      </c>
      <c r="J42" s="47" t="s">
        <v>141</v>
      </c>
      <c r="K42" s="47" t="s">
        <v>141</v>
      </c>
    </row>
    <row r="43" spans="1:12" ht="58.5" customHeight="1" x14ac:dyDescent="0.25">
      <c r="A43" s="41"/>
      <c r="B43" s="145"/>
      <c r="C43" s="143"/>
      <c r="D43" s="44" t="s">
        <v>138</v>
      </c>
      <c r="E43" s="45" t="s">
        <v>207</v>
      </c>
      <c r="F43" s="46" t="s">
        <v>208</v>
      </c>
      <c r="G43" s="46" t="s">
        <v>156</v>
      </c>
      <c r="H43" s="58" t="s">
        <v>209</v>
      </c>
      <c r="I43" s="48" t="s">
        <v>206</v>
      </c>
      <c r="J43" s="47" t="s">
        <v>141</v>
      </c>
      <c r="K43" s="47" t="s">
        <v>141</v>
      </c>
    </row>
    <row r="44" spans="1:12" ht="66" customHeight="1" x14ac:dyDescent="0.25">
      <c r="A44" s="41"/>
      <c r="B44" s="146"/>
      <c r="C44" s="142"/>
      <c r="D44" s="44" t="s">
        <v>142</v>
      </c>
      <c r="E44" s="45" t="s">
        <v>210</v>
      </c>
      <c r="F44" s="46" t="s">
        <v>211</v>
      </c>
      <c r="G44" s="46" t="s">
        <v>156</v>
      </c>
      <c r="H44" s="58" t="s">
        <v>149</v>
      </c>
      <c r="I44" s="48" t="s">
        <v>206</v>
      </c>
      <c r="J44" s="47" t="s">
        <v>141</v>
      </c>
      <c r="K44" s="47" t="s">
        <v>141</v>
      </c>
    </row>
    <row r="45" spans="1:12" ht="57" customHeight="1" x14ac:dyDescent="0.25">
      <c r="A45" s="41"/>
      <c r="B45" s="42">
        <v>14</v>
      </c>
      <c r="C45" s="43" t="s">
        <v>212</v>
      </c>
      <c r="D45" s="44" t="s">
        <v>105</v>
      </c>
      <c r="E45" s="45" t="s">
        <v>213</v>
      </c>
      <c r="F45" s="46" t="s">
        <v>214</v>
      </c>
      <c r="G45" s="46" t="s">
        <v>156</v>
      </c>
      <c r="H45" s="58" t="s">
        <v>215</v>
      </c>
      <c r="I45" s="48" t="s">
        <v>129</v>
      </c>
      <c r="J45" s="47" t="s">
        <v>130</v>
      </c>
      <c r="K45" s="47" t="s">
        <v>216</v>
      </c>
    </row>
    <row r="46" spans="1:12" ht="49.5" customHeight="1" x14ac:dyDescent="0.25">
      <c r="A46" s="41"/>
      <c r="B46" s="129">
        <v>15</v>
      </c>
      <c r="C46" s="141" t="s">
        <v>217</v>
      </c>
      <c r="D46" s="44" t="s">
        <v>105</v>
      </c>
      <c r="E46" s="45" t="s">
        <v>218</v>
      </c>
      <c r="F46" s="46" t="s">
        <v>219</v>
      </c>
      <c r="G46" s="46" t="s">
        <v>156</v>
      </c>
      <c r="H46" s="58" t="s">
        <v>108</v>
      </c>
      <c r="I46" s="48" t="s">
        <v>101</v>
      </c>
      <c r="J46" s="47" t="s">
        <v>130</v>
      </c>
      <c r="K46" s="47" t="s">
        <v>220</v>
      </c>
    </row>
    <row r="47" spans="1:12" ht="63" customHeight="1" x14ac:dyDescent="0.25">
      <c r="A47" s="41"/>
      <c r="B47" s="131"/>
      <c r="C47" s="142"/>
      <c r="D47" s="44" t="s">
        <v>138</v>
      </c>
      <c r="E47" s="45" t="s">
        <v>221</v>
      </c>
      <c r="F47" s="46" t="s">
        <v>219</v>
      </c>
      <c r="G47" s="46" t="s">
        <v>156</v>
      </c>
      <c r="H47" s="58" t="s">
        <v>222</v>
      </c>
      <c r="I47" s="48" t="s">
        <v>206</v>
      </c>
      <c r="J47" s="47" t="s">
        <v>141</v>
      </c>
      <c r="K47" s="47" t="s">
        <v>141</v>
      </c>
    </row>
    <row r="48" spans="1:12" ht="54" customHeight="1" x14ac:dyDescent="0.25">
      <c r="A48" s="41"/>
      <c r="B48" s="129">
        <v>16</v>
      </c>
      <c r="C48" s="141" t="s">
        <v>223</v>
      </c>
      <c r="D48" s="44" t="s">
        <v>105</v>
      </c>
      <c r="E48" s="45" t="s">
        <v>224</v>
      </c>
      <c r="F48" s="46" t="s">
        <v>225</v>
      </c>
      <c r="G48" s="46" t="s">
        <v>156</v>
      </c>
      <c r="H48" s="58" t="s">
        <v>108</v>
      </c>
      <c r="I48" s="48" t="s">
        <v>101</v>
      </c>
      <c r="J48" s="47" t="s">
        <v>102</v>
      </c>
      <c r="K48" s="47" t="s">
        <v>226</v>
      </c>
    </row>
    <row r="49" spans="1:12" ht="63.75" customHeight="1" x14ac:dyDescent="0.25">
      <c r="A49" s="41"/>
      <c r="B49" s="131"/>
      <c r="C49" s="142"/>
      <c r="D49" s="44" t="s">
        <v>138</v>
      </c>
      <c r="E49" s="45" t="s">
        <v>227</v>
      </c>
      <c r="F49" s="46" t="s">
        <v>225</v>
      </c>
      <c r="G49" s="46" t="s">
        <v>156</v>
      </c>
      <c r="H49" s="58" t="s">
        <v>149</v>
      </c>
      <c r="I49" s="48" t="s">
        <v>101</v>
      </c>
      <c r="J49" s="47" t="s">
        <v>102</v>
      </c>
      <c r="K49" s="47" t="s">
        <v>228</v>
      </c>
    </row>
    <row r="50" spans="1:12" ht="62.25" customHeight="1" x14ac:dyDescent="0.25">
      <c r="A50" s="41"/>
      <c r="B50" s="129">
        <v>17</v>
      </c>
      <c r="C50" s="141" t="s">
        <v>229</v>
      </c>
      <c r="D50" s="44" t="s">
        <v>230</v>
      </c>
      <c r="E50" s="45" t="s">
        <v>231</v>
      </c>
      <c r="F50" s="46" t="s">
        <v>232</v>
      </c>
      <c r="G50" s="46" t="s">
        <v>233</v>
      </c>
      <c r="H50" s="58" t="s">
        <v>149</v>
      </c>
      <c r="I50" s="48" t="s">
        <v>206</v>
      </c>
      <c r="J50" s="47" t="s">
        <v>141</v>
      </c>
      <c r="K50" s="47" t="s">
        <v>141</v>
      </c>
    </row>
    <row r="51" spans="1:12" ht="53.25" customHeight="1" x14ac:dyDescent="0.25">
      <c r="A51" s="41"/>
      <c r="B51" s="130"/>
      <c r="C51" s="143"/>
      <c r="D51" s="44" t="s">
        <v>138</v>
      </c>
      <c r="E51" s="45" t="s">
        <v>234</v>
      </c>
      <c r="F51" s="46" t="s">
        <v>232</v>
      </c>
      <c r="G51" s="46" t="s">
        <v>233</v>
      </c>
      <c r="H51" s="58" t="s">
        <v>149</v>
      </c>
      <c r="I51" s="48" t="s">
        <v>206</v>
      </c>
      <c r="J51" s="47" t="s">
        <v>141</v>
      </c>
      <c r="K51" s="48" t="s">
        <v>141</v>
      </c>
      <c r="L51" s="15"/>
    </row>
    <row r="52" spans="1:12" ht="53.25" customHeight="1" x14ac:dyDescent="0.25">
      <c r="A52" s="41"/>
      <c r="B52" s="130"/>
      <c r="C52" s="143"/>
      <c r="D52" s="44" t="s">
        <v>235</v>
      </c>
      <c r="E52" s="45" t="s">
        <v>236</v>
      </c>
      <c r="F52" s="135" t="s">
        <v>237</v>
      </c>
      <c r="G52" s="135" t="s">
        <v>233</v>
      </c>
      <c r="H52" s="47"/>
      <c r="I52" s="48"/>
      <c r="J52" s="47"/>
      <c r="K52" s="47"/>
      <c r="L52" s="15"/>
    </row>
    <row r="53" spans="1:12" x14ac:dyDescent="0.25">
      <c r="A53" s="41"/>
      <c r="B53" s="130"/>
      <c r="C53" s="143"/>
      <c r="D53" s="138" t="s">
        <v>116</v>
      </c>
      <c r="E53" s="45" t="s">
        <v>238</v>
      </c>
      <c r="F53" s="136"/>
      <c r="G53" s="136"/>
      <c r="H53" s="47" t="s">
        <v>149</v>
      </c>
      <c r="I53" s="48" t="s">
        <v>206</v>
      </c>
      <c r="J53" s="47" t="s">
        <v>141</v>
      </c>
      <c r="K53" s="47" t="s">
        <v>141</v>
      </c>
      <c r="L53" s="15"/>
    </row>
    <row r="54" spans="1:12" ht="25.5" x14ac:dyDescent="0.25">
      <c r="A54" s="41"/>
      <c r="B54" s="130"/>
      <c r="C54" s="143"/>
      <c r="D54" s="139"/>
      <c r="E54" s="45" t="s">
        <v>239</v>
      </c>
      <c r="F54" s="136"/>
      <c r="G54" s="136"/>
      <c r="H54" s="47" t="s">
        <v>141</v>
      </c>
      <c r="I54" s="48" t="s">
        <v>206</v>
      </c>
      <c r="J54" s="47" t="s">
        <v>141</v>
      </c>
      <c r="K54" s="48" t="s">
        <v>141</v>
      </c>
      <c r="L54" s="15"/>
    </row>
    <row r="55" spans="1:12" ht="25.5" x14ac:dyDescent="0.25">
      <c r="A55" s="41"/>
      <c r="B55" s="130"/>
      <c r="C55" s="143"/>
      <c r="D55" s="139"/>
      <c r="E55" s="45" t="s">
        <v>240</v>
      </c>
      <c r="F55" s="136"/>
      <c r="G55" s="136"/>
      <c r="H55" s="47" t="s">
        <v>141</v>
      </c>
      <c r="I55" s="48" t="s">
        <v>206</v>
      </c>
      <c r="J55" s="47" t="s">
        <v>141</v>
      </c>
      <c r="K55" s="48" t="s">
        <v>141</v>
      </c>
      <c r="L55" s="15"/>
    </row>
    <row r="56" spans="1:12" ht="38.25" x14ac:dyDescent="0.25">
      <c r="A56" s="41"/>
      <c r="B56" s="130"/>
      <c r="C56" s="143"/>
      <c r="D56" s="139"/>
      <c r="E56" s="45" t="s">
        <v>241</v>
      </c>
      <c r="F56" s="136"/>
      <c r="G56" s="136"/>
      <c r="H56" s="47" t="s">
        <v>108</v>
      </c>
      <c r="I56" s="48" t="s">
        <v>101</v>
      </c>
      <c r="J56" s="47" t="s">
        <v>102</v>
      </c>
      <c r="K56" s="59" t="s">
        <v>242</v>
      </c>
      <c r="L56" s="15"/>
    </row>
    <row r="57" spans="1:12" x14ac:dyDescent="0.25">
      <c r="A57" s="41"/>
      <c r="B57" s="130"/>
      <c r="C57" s="143"/>
      <c r="D57" s="139"/>
      <c r="E57" s="45" t="s">
        <v>243</v>
      </c>
      <c r="F57" s="136"/>
      <c r="G57" s="136"/>
      <c r="H57" s="47" t="s">
        <v>141</v>
      </c>
      <c r="I57" s="48" t="s">
        <v>206</v>
      </c>
      <c r="J57" s="47" t="s">
        <v>141</v>
      </c>
      <c r="K57" s="48" t="s">
        <v>141</v>
      </c>
      <c r="L57" s="15"/>
    </row>
    <row r="58" spans="1:12" ht="25.5" x14ac:dyDescent="0.25">
      <c r="A58" s="41"/>
      <c r="B58" s="130"/>
      <c r="C58" s="143"/>
      <c r="D58" s="139"/>
      <c r="E58" s="45" t="s">
        <v>244</v>
      </c>
      <c r="F58" s="136"/>
      <c r="G58" s="136"/>
      <c r="H58" s="47" t="s">
        <v>141</v>
      </c>
      <c r="I58" s="48" t="s">
        <v>206</v>
      </c>
      <c r="J58" s="47" t="s">
        <v>141</v>
      </c>
      <c r="K58" s="48" t="s">
        <v>141</v>
      </c>
      <c r="L58" s="15"/>
    </row>
    <row r="59" spans="1:12" ht="51" x14ac:dyDescent="0.25">
      <c r="A59" s="41"/>
      <c r="B59" s="131"/>
      <c r="C59" s="142"/>
      <c r="D59" s="140"/>
      <c r="E59" s="45" t="s">
        <v>245</v>
      </c>
      <c r="F59" s="137"/>
      <c r="G59" s="137"/>
      <c r="H59" s="47" t="s">
        <v>141</v>
      </c>
      <c r="I59" s="48" t="s">
        <v>206</v>
      </c>
      <c r="J59" s="47" t="s">
        <v>141</v>
      </c>
      <c r="K59" s="60" t="s">
        <v>141</v>
      </c>
      <c r="L59" s="15"/>
    </row>
    <row r="60" spans="1:12" ht="63.75" customHeight="1" x14ac:dyDescent="0.25">
      <c r="A60" s="41"/>
      <c r="B60" s="42">
        <v>18</v>
      </c>
      <c r="C60" s="43" t="s">
        <v>246</v>
      </c>
      <c r="D60" s="44" t="s">
        <v>230</v>
      </c>
      <c r="E60" s="45" t="s">
        <v>247</v>
      </c>
      <c r="F60" s="46" t="s">
        <v>248</v>
      </c>
      <c r="G60" s="46" t="s">
        <v>233</v>
      </c>
      <c r="H60" s="47" t="s">
        <v>149</v>
      </c>
      <c r="I60" s="48" t="s">
        <v>129</v>
      </c>
      <c r="J60" s="47" t="s">
        <v>130</v>
      </c>
      <c r="K60" s="47" t="s">
        <v>141</v>
      </c>
      <c r="L60" s="15"/>
    </row>
    <row r="61" spans="1:12" ht="64.5" customHeight="1" x14ac:dyDescent="0.25">
      <c r="A61" s="41"/>
      <c r="B61" s="42">
        <v>19</v>
      </c>
      <c r="C61" s="43" t="s">
        <v>246</v>
      </c>
      <c r="D61" s="44" t="s">
        <v>249</v>
      </c>
      <c r="E61" s="45" t="s">
        <v>250</v>
      </c>
      <c r="F61" s="46" t="s">
        <v>248</v>
      </c>
      <c r="G61" s="46" t="s">
        <v>233</v>
      </c>
      <c r="H61" s="47" t="s">
        <v>136</v>
      </c>
      <c r="I61" s="48" t="s">
        <v>129</v>
      </c>
      <c r="J61" s="47" t="s">
        <v>130</v>
      </c>
      <c r="K61" s="47" t="s">
        <v>141</v>
      </c>
      <c r="L61" s="15"/>
    </row>
    <row r="62" spans="1:12" ht="66.75" customHeight="1" x14ac:dyDescent="0.25">
      <c r="A62" s="41"/>
      <c r="B62" s="129">
        <v>20</v>
      </c>
      <c r="C62" s="141" t="s">
        <v>251</v>
      </c>
      <c r="D62" s="44" t="s">
        <v>105</v>
      </c>
      <c r="E62" s="61" t="s">
        <v>252</v>
      </c>
      <c r="F62" s="46" t="s">
        <v>253</v>
      </c>
      <c r="G62" s="46" t="s">
        <v>254</v>
      </c>
      <c r="H62" s="47" t="s">
        <v>149</v>
      </c>
      <c r="I62" s="48" t="s">
        <v>206</v>
      </c>
      <c r="J62" s="47" t="s">
        <v>141</v>
      </c>
      <c r="K62" s="48" t="s">
        <v>141</v>
      </c>
      <c r="L62" s="15"/>
    </row>
    <row r="63" spans="1:12" ht="59.25" customHeight="1" x14ac:dyDescent="0.25">
      <c r="A63" s="41"/>
      <c r="B63" s="131"/>
      <c r="C63" s="142"/>
      <c r="D63" s="44" t="s">
        <v>138</v>
      </c>
      <c r="E63" s="61" t="s">
        <v>255</v>
      </c>
      <c r="F63" s="46" t="s">
        <v>253</v>
      </c>
      <c r="G63" s="46" t="s">
        <v>254</v>
      </c>
      <c r="H63" s="47" t="s">
        <v>149</v>
      </c>
      <c r="I63" s="48" t="s">
        <v>206</v>
      </c>
      <c r="J63" s="47" t="s">
        <v>141</v>
      </c>
      <c r="K63" s="48" t="s">
        <v>141</v>
      </c>
      <c r="L63" s="15"/>
    </row>
    <row r="64" spans="1:12" ht="52.5" customHeight="1" x14ac:dyDescent="0.25">
      <c r="A64" s="41"/>
      <c r="B64" s="138">
        <v>21</v>
      </c>
      <c r="C64" s="141" t="s">
        <v>256</v>
      </c>
      <c r="D64" s="44" t="s">
        <v>105</v>
      </c>
      <c r="E64" s="61" t="s">
        <v>257</v>
      </c>
      <c r="F64" s="46" t="s">
        <v>258</v>
      </c>
      <c r="G64" s="46" t="s">
        <v>259</v>
      </c>
      <c r="H64" s="47" t="s">
        <v>260</v>
      </c>
      <c r="I64" s="48" t="s">
        <v>206</v>
      </c>
      <c r="J64" s="47" t="s">
        <v>141</v>
      </c>
      <c r="K64" s="48" t="s">
        <v>141</v>
      </c>
      <c r="L64" s="15"/>
    </row>
    <row r="65" spans="1:12" ht="63.75" customHeight="1" x14ac:dyDescent="0.25">
      <c r="A65" s="41"/>
      <c r="B65" s="139">
        <v>2</v>
      </c>
      <c r="C65" s="143"/>
      <c r="D65" s="44" t="s">
        <v>138</v>
      </c>
      <c r="E65" s="45" t="s">
        <v>261</v>
      </c>
      <c r="F65" s="46" t="s">
        <v>258</v>
      </c>
      <c r="G65" s="46" t="s">
        <v>259</v>
      </c>
      <c r="H65" s="47" t="s">
        <v>260</v>
      </c>
      <c r="I65" s="48" t="s">
        <v>206</v>
      </c>
      <c r="J65" s="47" t="s">
        <v>141</v>
      </c>
      <c r="K65" s="48" t="s">
        <v>141</v>
      </c>
      <c r="L65" s="15"/>
    </row>
    <row r="66" spans="1:12" ht="47.25" customHeight="1" x14ac:dyDescent="0.25">
      <c r="A66" s="41"/>
      <c r="B66" s="140"/>
      <c r="C66" s="142"/>
      <c r="D66" s="44" t="s">
        <v>262</v>
      </c>
      <c r="E66" s="45" t="s">
        <v>263</v>
      </c>
      <c r="F66" s="46" t="s">
        <v>258</v>
      </c>
      <c r="G66" s="46" t="s">
        <v>259</v>
      </c>
      <c r="H66" s="47" t="s">
        <v>260</v>
      </c>
      <c r="I66" s="48" t="s">
        <v>206</v>
      </c>
      <c r="J66" s="47" t="s">
        <v>141</v>
      </c>
      <c r="K66" s="48" t="s">
        <v>141</v>
      </c>
      <c r="L66" s="15"/>
    </row>
    <row r="67" spans="1:12" ht="63.75" customHeight="1" x14ac:dyDescent="0.25">
      <c r="A67" s="41"/>
      <c r="B67" s="42">
        <v>22</v>
      </c>
      <c r="C67" s="43" t="s">
        <v>264</v>
      </c>
      <c r="D67" s="44" t="s">
        <v>105</v>
      </c>
      <c r="E67" s="45" t="s">
        <v>265</v>
      </c>
      <c r="F67" s="46" t="s">
        <v>266</v>
      </c>
      <c r="G67" s="46" t="s">
        <v>267</v>
      </c>
      <c r="H67" s="47" t="s">
        <v>268</v>
      </c>
      <c r="I67" s="48" t="s">
        <v>206</v>
      </c>
      <c r="J67" s="47" t="s">
        <v>141</v>
      </c>
      <c r="K67" s="47" t="s">
        <v>141</v>
      </c>
      <c r="L67" s="15"/>
    </row>
    <row r="68" spans="1:12" ht="54" customHeight="1" x14ac:dyDescent="0.25">
      <c r="A68" s="41"/>
      <c r="B68" s="42">
        <v>23</v>
      </c>
      <c r="C68" s="43" t="s">
        <v>269</v>
      </c>
      <c r="D68" s="44" t="s">
        <v>105</v>
      </c>
      <c r="E68" s="45" t="s">
        <v>270</v>
      </c>
      <c r="F68" s="46" t="s">
        <v>271</v>
      </c>
      <c r="G68" s="46" t="s">
        <v>267</v>
      </c>
      <c r="H68" s="47" t="s">
        <v>141</v>
      </c>
      <c r="I68" s="48" t="s">
        <v>206</v>
      </c>
      <c r="J68" s="47" t="s">
        <v>141</v>
      </c>
      <c r="K68" s="47" t="s">
        <v>141</v>
      </c>
      <c r="L68" s="15"/>
    </row>
    <row r="69" spans="1:12" ht="66.75" customHeight="1" x14ac:dyDescent="0.25">
      <c r="A69" s="41"/>
      <c r="B69" s="42">
        <v>24</v>
      </c>
      <c r="C69" s="43" t="s">
        <v>272</v>
      </c>
      <c r="D69" s="44" t="s">
        <v>105</v>
      </c>
      <c r="E69" s="45" t="s">
        <v>273</v>
      </c>
      <c r="F69" s="46" t="s">
        <v>274</v>
      </c>
      <c r="G69" s="46" t="s">
        <v>267</v>
      </c>
      <c r="H69" s="47" t="s">
        <v>141</v>
      </c>
      <c r="I69" s="48" t="s">
        <v>206</v>
      </c>
      <c r="J69" s="47" t="s">
        <v>141</v>
      </c>
      <c r="K69" s="48" t="s">
        <v>141</v>
      </c>
      <c r="L69" s="15"/>
    </row>
    <row r="70" spans="1:12" ht="40.5" customHeight="1" x14ac:dyDescent="0.25">
      <c r="A70" s="41"/>
      <c r="B70" s="42">
        <v>25</v>
      </c>
      <c r="C70" s="43" t="s">
        <v>275</v>
      </c>
      <c r="D70" s="44" t="s">
        <v>105</v>
      </c>
      <c r="E70" s="45" t="s">
        <v>276</v>
      </c>
      <c r="F70" s="46" t="s">
        <v>277</v>
      </c>
      <c r="G70" s="46"/>
      <c r="H70" s="47" t="s">
        <v>136</v>
      </c>
      <c r="I70" s="48" t="s">
        <v>129</v>
      </c>
      <c r="J70" s="47" t="s">
        <v>130</v>
      </c>
      <c r="K70" s="47" t="s">
        <v>278</v>
      </c>
      <c r="L70" s="15"/>
    </row>
    <row r="71" spans="1:12" ht="25.5" x14ac:dyDescent="0.25">
      <c r="A71" s="41"/>
      <c r="B71" s="129">
        <v>26</v>
      </c>
      <c r="C71" s="141" t="s">
        <v>275</v>
      </c>
      <c r="D71" s="44" t="s">
        <v>105</v>
      </c>
      <c r="E71" s="45" t="s">
        <v>279</v>
      </c>
      <c r="F71" s="135" t="s">
        <v>277</v>
      </c>
      <c r="G71" s="46" t="s">
        <v>280</v>
      </c>
      <c r="H71" s="47"/>
      <c r="I71" s="48"/>
      <c r="J71" s="47"/>
      <c r="K71" s="47"/>
      <c r="L71" s="15"/>
    </row>
    <row r="72" spans="1:12" ht="25.5" x14ac:dyDescent="0.25">
      <c r="A72" s="41"/>
      <c r="B72" s="130"/>
      <c r="C72" s="143"/>
      <c r="D72" s="138" t="s">
        <v>116</v>
      </c>
      <c r="E72" s="45" t="s">
        <v>281</v>
      </c>
      <c r="F72" s="136"/>
      <c r="G72" s="46"/>
      <c r="H72" s="47" t="s">
        <v>136</v>
      </c>
      <c r="I72" s="48" t="s">
        <v>129</v>
      </c>
      <c r="J72" s="47" t="s">
        <v>130</v>
      </c>
      <c r="K72" s="47" t="s">
        <v>278</v>
      </c>
      <c r="L72" s="15"/>
    </row>
    <row r="73" spans="1:12" ht="25.5" x14ac:dyDescent="0.25">
      <c r="A73" s="41"/>
      <c r="B73" s="130"/>
      <c r="C73" s="143"/>
      <c r="D73" s="139"/>
      <c r="E73" s="45" t="s">
        <v>282</v>
      </c>
      <c r="F73" s="136"/>
      <c r="G73" s="46"/>
      <c r="H73" s="47" t="s">
        <v>136</v>
      </c>
      <c r="I73" s="48" t="s">
        <v>129</v>
      </c>
      <c r="J73" s="47" t="s">
        <v>130</v>
      </c>
      <c r="K73" s="47" t="s">
        <v>278</v>
      </c>
      <c r="L73" s="15"/>
    </row>
    <row r="74" spans="1:12" ht="38.25" x14ac:dyDescent="0.25">
      <c r="A74" s="41"/>
      <c r="B74" s="130"/>
      <c r="C74" s="143"/>
      <c r="D74" s="139"/>
      <c r="E74" s="45" t="s">
        <v>283</v>
      </c>
      <c r="F74" s="136"/>
      <c r="G74" s="46"/>
      <c r="H74" s="47" t="s">
        <v>136</v>
      </c>
      <c r="I74" s="48" t="s">
        <v>129</v>
      </c>
      <c r="J74" s="47" t="s">
        <v>130</v>
      </c>
      <c r="K74" s="47" t="s">
        <v>278</v>
      </c>
      <c r="L74" s="15"/>
    </row>
    <row r="75" spans="1:12" ht="25.5" x14ac:dyDescent="0.25">
      <c r="A75" s="41"/>
      <c r="B75" s="131"/>
      <c r="C75" s="142"/>
      <c r="D75" s="140"/>
      <c r="E75" s="45" t="s">
        <v>284</v>
      </c>
      <c r="F75" s="137"/>
      <c r="G75" s="46"/>
      <c r="H75" s="47" t="s">
        <v>136</v>
      </c>
      <c r="I75" s="48" t="s">
        <v>129</v>
      </c>
      <c r="J75" s="47" t="s">
        <v>130</v>
      </c>
      <c r="K75" s="47" t="s">
        <v>278</v>
      </c>
      <c r="L75" s="15"/>
    </row>
    <row r="76" spans="1:12" ht="36.75" customHeight="1" x14ac:dyDescent="0.25">
      <c r="A76" s="41"/>
      <c r="B76" s="42">
        <v>27</v>
      </c>
      <c r="C76" s="43" t="s">
        <v>275</v>
      </c>
      <c r="D76" s="44" t="s">
        <v>105</v>
      </c>
      <c r="E76" s="45" t="s">
        <v>285</v>
      </c>
      <c r="F76" s="46" t="s">
        <v>286</v>
      </c>
      <c r="G76" s="46" t="s">
        <v>287</v>
      </c>
      <c r="H76" s="47" t="s">
        <v>136</v>
      </c>
      <c r="I76" s="48" t="s">
        <v>129</v>
      </c>
      <c r="J76" s="47" t="s">
        <v>130</v>
      </c>
      <c r="K76" s="47" t="s">
        <v>278</v>
      </c>
      <c r="L76" s="15"/>
    </row>
    <row r="77" spans="1:12" ht="25.5" x14ac:dyDescent="0.25">
      <c r="A77" s="41"/>
      <c r="B77" s="129">
        <v>28</v>
      </c>
      <c r="C77" s="141" t="s">
        <v>275</v>
      </c>
      <c r="D77" s="44" t="s">
        <v>105</v>
      </c>
      <c r="E77" s="45" t="s">
        <v>288</v>
      </c>
      <c r="F77" s="135" t="s">
        <v>286</v>
      </c>
      <c r="G77" s="135" t="s">
        <v>287</v>
      </c>
      <c r="H77" s="47"/>
      <c r="I77" s="48"/>
      <c r="J77" s="47"/>
      <c r="K77" s="47"/>
      <c r="L77" s="15"/>
    </row>
    <row r="78" spans="1:12" ht="25.5" x14ac:dyDescent="0.25">
      <c r="A78" s="41"/>
      <c r="B78" s="130"/>
      <c r="C78" s="143"/>
      <c r="D78" s="138" t="s">
        <v>116</v>
      </c>
      <c r="E78" s="45" t="s">
        <v>289</v>
      </c>
      <c r="F78" s="136"/>
      <c r="G78" s="136"/>
      <c r="H78" s="47" t="s">
        <v>136</v>
      </c>
      <c r="I78" s="48" t="s">
        <v>129</v>
      </c>
      <c r="J78" s="47" t="s">
        <v>130</v>
      </c>
      <c r="K78" s="47" t="s">
        <v>278</v>
      </c>
      <c r="L78" s="15"/>
    </row>
    <row r="79" spans="1:12" ht="25.5" x14ac:dyDescent="0.25">
      <c r="A79" s="41"/>
      <c r="B79" s="130"/>
      <c r="C79" s="143"/>
      <c r="D79" s="139"/>
      <c r="E79" s="45" t="s">
        <v>290</v>
      </c>
      <c r="F79" s="136"/>
      <c r="G79" s="136"/>
      <c r="H79" s="47" t="s">
        <v>136</v>
      </c>
      <c r="I79" s="48" t="s">
        <v>129</v>
      </c>
      <c r="J79" s="47" t="s">
        <v>130</v>
      </c>
      <c r="K79" s="47" t="s">
        <v>278</v>
      </c>
      <c r="L79" s="15"/>
    </row>
    <row r="80" spans="1:12" ht="25.5" x14ac:dyDescent="0.25">
      <c r="A80" s="41"/>
      <c r="B80" s="130"/>
      <c r="C80" s="143"/>
      <c r="D80" s="139"/>
      <c r="E80" s="45" t="s">
        <v>291</v>
      </c>
      <c r="F80" s="136"/>
      <c r="G80" s="136"/>
      <c r="H80" s="47" t="s">
        <v>136</v>
      </c>
      <c r="I80" s="48" t="s">
        <v>129</v>
      </c>
      <c r="J80" s="47" t="s">
        <v>130</v>
      </c>
      <c r="K80" s="47" t="s">
        <v>278</v>
      </c>
      <c r="L80" s="15"/>
    </row>
    <row r="81" spans="1:12" ht="25.5" x14ac:dyDescent="0.25">
      <c r="A81" s="41"/>
      <c r="B81" s="131"/>
      <c r="C81" s="142"/>
      <c r="D81" s="140"/>
      <c r="E81" s="45" t="s">
        <v>292</v>
      </c>
      <c r="F81" s="137"/>
      <c r="G81" s="137"/>
      <c r="H81" s="47" t="s">
        <v>136</v>
      </c>
      <c r="I81" s="48" t="s">
        <v>129</v>
      </c>
      <c r="J81" s="47" t="s">
        <v>130</v>
      </c>
      <c r="K81" s="47" t="s">
        <v>278</v>
      </c>
      <c r="L81" s="15"/>
    </row>
    <row r="82" spans="1:12" ht="38.25" x14ac:dyDescent="0.25">
      <c r="A82" s="41"/>
      <c r="B82" s="147">
        <v>29</v>
      </c>
      <c r="C82" s="141" t="s">
        <v>78</v>
      </c>
      <c r="D82" s="44" t="s">
        <v>105</v>
      </c>
      <c r="E82" s="45" t="s">
        <v>293</v>
      </c>
      <c r="F82" s="135" t="s">
        <v>294</v>
      </c>
      <c r="G82" s="135" t="s">
        <v>295</v>
      </c>
      <c r="H82" s="47" t="s">
        <v>108</v>
      </c>
      <c r="I82" s="48" t="s">
        <v>101</v>
      </c>
      <c r="J82" s="47" t="s">
        <v>130</v>
      </c>
      <c r="K82" s="47" t="s">
        <v>296</v>
      </c>
      <c r="L82" s="15"/>
    </row>
    <row r="83" spans="1:12" ht="38.25" x14ac:dyDescent="0.25">
      <c r="A83" s="41"/>
      <c r="B83" s="147"/>
      <c r="C83" s="143"/>
      <c r="D83" s="44" t="s">
        <v>110</v>
      </c>
      <c r="E83" s="45" t="s">
        <v>297</v>
      </c>
      <c r="F83" s="136"/>
      <c r="G83" s="136"/>
      <c r="H83" s="47" t="s">
        <v>298</v>
      </c>
      <c r="I83" s="48" t="s">
        <v>101</v>
      </c>
      <c r="J83" s="47" t="s">
        <v>130</v>
      </c>
      <c r="K83" s="47" t="s">
        <v>296</v>
      </c>
      <c r="L83" s="15"/>
    </row>
    <row r="84" spans="1:12" ht="42.95" customHeight="1" x14ac:dyDescent="0.25">
      <c r="A84" s="41"/>
      <c r="B84" s="147"/>
      <c r="C84" s="143"/>
      <c r="D84" s="44" t="s">
        <v>299</v>
      </c>
      <c r="E84" s="45" t="s">
        <v>300</v>
      </c>
      <c r="F84" s="136"/>
      <c r="G84" s="136"/>
      <c r="H84" s="47"/>
      <c r="I84" s="48"/>
      <c r="J84" s="47"/>
      <c r="K84" s="47"/>
      <c r="L84" s="15"/>
    </row>
    <row r="85" spans="1:12" ht="25.5" x14ac:dyDescent="0.25">
      <c r="A85" s="41"/>
      <c r="B85" s="147"/>
      <c r="C85" s="143"/>
      <c r="D85" s="138" t="s">
        <v>116</v>
      </c>
      <c r="E85" s="45" t="s">
        <v>301</v>
      </c>
      <c r="F85" s="136"/>
      <c r="G85" s="136"/>
      <c r="H85" s="47" t="s">
        <v>302</v>
      </c>
      <c r="I85" s="48" t="s">
        <v>206</v>
      </c>
      <c r="J85" s="47" t="s">
        <v>141</v>
      </c>
      <c r="K85" s="47" t="s">
        <v>303</v>
      </c>
      <c r="L85" s="15"/>
    </row>
    <row r="86" spans="1:12" ht="76.5" x14ac:dyDescent="0.25">
      <c r="A86" s="41"/>
      <c r="B86" s="147"/>
      <c r="C86" s="143"/>
      <c r="D86" s="139"/>
      <c r="E86" s="45" t="s">
        <v>304</v>
      </c>
      <c r="F86" s="136"/>
      <c r="G86" s="136"/>
      <c r="H86" s="47" t="s">
        <v>108</v>
      </c>
      <c r="I86" s="48" t="s">
        <v>129</v>
      </c>
      <c r="J86" s="47" t="s">
        <v>130</v>
      </c>
      <c r="K86" s="47" t="s">
        <v>305</v>
      </c>
      <c r="L86" s="15"/>
    </row>
    <row r="87" spans="1:12" ht="25.5" x14ac:dyDescent="0.25">
      <c r="A87" s="41"/>
      <c r="B87" s="147"/>
      <c r="C87" s="143"/>
      <c r="D87" s="139"/>
      <c r="E87" s="45" t="s">
        <v>306</v>
      </c>
      <c r="F87" s="136"/>
      <c r="G87" s="136"/>
      <c r="H87" s="47" t="s">
        <v>149</v>
      </c>
      <c r="I87" s="48" t="s">
        <v>206</v>
      </c>
      <c r="J87" s="47" t="s">
        <v>141</v>
      </c>
      <c r="K87" s="47" t="s">
        <v>141</v>
      </c>
      <c r="L87" s="15"/>
    </row>
    <row r="88" spans="1:12" x14ac:dyDescent="0.25">
      <c r="A88" s="41"/>
      <c r="B88" s="147"/>
      <c r="C88" s="143"/>
      <c r="D88" s="139"/>
      <c r="E88" s="45" t="s">
        <v>307</v>
      </c>
      <c r="F88" s="136"/>
      <c r="G88" s="136"/>
      <c r="H88" s="47" t="s">
        <v>149</v>
      </c>
      <c r="I88" s="48" t="s">
        <v>206</v>
      </c>
      <c r="J88" s="47" t="s">
        <v>141</v>
      </c>
      <c r="K88" s="47" t="s">
        <v>141</v>
      </c>
      <c r="L88" s="15"/>
    </row>
    <row r="89" spans="1:12" x14ac:dyDescent="0.25">
      <c r="A89" s="41"/>
      <c r="B89" s="147"/>
      <c r="C89" s="143"/>
      <c r="D89" s="139"/>
      <c r="E89" s="45" t="s">
        <v>308</v>
      </c>
      <c r="F89" s="136"/>
      <c r="G89" s="136"/>
      <c r="H89" s="47" t="s">
        <v>149</v>
      </c>
      <c r="I89" s="48" t="s">
        <v>206</v>
      </c>
      <c r="J89" s="47" t="s">
        <v>141</v>
      </c>
      <c r="K89" s="47" t="s">
        <v>141</v>
      </c>
      <c r="L89" s="15"/>
    </row>
    <row r="90" spans="1:12" ht="25.5" x14ac:dyDescent="0.25">
      <c r="A90" s="41"/>
      <c r="B90" s="147"/>
      <c r="C90" s="143"/>
      <c r="D90" s="139"/>
      <c r="E90" s="45" t="s">
        <v>309</v>
      </c>
      <c r="F90" s="136"/>
      <c r="G90" s="136"/>
      <c r="H90" s="47" t="s">
        <v>149</v>
      </c>
      <c r="I90" s="48" t="s">
        <v>206</v>
      </c>
      <c r="J90" s="47" t="s">
        <v>141</v>
      </c>
      <c r="K90" s="47" t="s">
        <v>141</v>
      </c>
      <c r="L90" s="15"/>
    </row>
    <row r="91" spans="1:12" ht="38.25" x14ac:dyDescent="0.25">
      <c r="A91" s="41"/>
      <c r="B91" s="147"/>
      <c r="C91" s="143"/>
      <c r="D91" s="139"/>
      <c r="E91" s="45" t="s">
        <v>310</v>
      </c>
      <c r="F91" s="136"/>
      <c r="G91" s="136"/>
      <c r="H91" s="47" t="s">
        <v>149</v>
      </c>
      <c r="I91" s="48" t="s">
        <v>206</v>
      </c>
      <c r="J91" s="47" t="s">
        <v>141</v>
      </c>
      <c r="K91" s="47" t="s">
        <v>141</v>
      </c>
      <c r="L91" s="15"/>
    </row>
    <row r="92" spans="1:12" ht="38.25" x14ac:dyDescent="0.25">
      <c r="A92" s="41"/>
      <c r="B92" s="147"/>
      <c r="C92" s="143"/>
      <c r="D92" s="139"/>
      <c r="E92" s="45" t="s">
        <v>311</v>
      </c>
      <c r="F92" s="136"/>
      <c r="G92" s="136"/>
      <c r="H92" s="47" t="s">
        <v>149</v>
      </c>
      <c r="I92" s="48" t="s">
        <v>206</v>
      </c>
      <c r="J92" s="47" t="s">
        <v>141</v>
      </c>
      <c r="K92" s="47" t="s">
        <v>141</v>
      </c>
      <c r="L92" s="15"/>
    </row>
    <row r="93" spans="1:12" ht="54.75" customHeight="1" x14ac:dyDescent="0.25">
      <c r="A93" s="41"/>
      <c r="B93" s="129">
        <v>30</v>
      </c>
      <c r="C93" s="62" t="s">
        <v>312</v>
      </c>
      <c r="D93" s="44" t="s">
        <v>105</v>
      </c>
      <c r="E93" s="45" t="s">
        <v>313</v>
      </c>
      <c r="F93" s="46" t="s">
        <v>314</v>
      </c>
      <c r="G93" s="46" t="s">
        <v>197</v>
      </c>
      <c r="H93" s="47" t="s">
        <v>140</v>
      </c>
      <c r="I93" s="48" t="s">
        <v>129</v>
      </c>
      <c r="J93" s="47" t="s">
        <v>130</v>
      </c>
      <c r="K93" s="47" t="s">
        <v>315</v>
      </c>
      <c r="L93" s="15"/>
    </row>
    <row r="94" spans="1:12" ht="42.75" customHeight="1" x14ac:dyDescent="0.25">
      <c r="A94" s="41"/>
      <c r="B94" s="131"/>
      <c r="C94" s="62" t="s">
        <v>312</v>
      </c>
      <c r="D94" s="44" t="s">
        <v>105</v>
      </c>
      <c r="E94" s="45" t="s">
        <v>316</v>
      </c>
      <c r="F94" s="46" t="s">
        <v>314</v>
      </c>
      <c r="G94" s="46" t="s">
        <v>197</v>
      </c>
      <c r="H94" s="47" t="s">
        <v>317</v>
      </c>
      <c r="I94" s="48" t="s">
        <v>129</v>
      </c>
      <c r="J94" s="47" t="s">
        <v>130</v>
      </c>
      <c r="K94" s="47" t="s">
        <v>315</v>
      </c>
      <c r="L94" s="15"/>
    </row>
    <row r="95" spans="1:12" ht="45.75" customHeight="1" x14ac:dyDescent="0.25">
      <c r="A95" s="41"/>
      <c r="B95" s="129">
        <v>31</v>
      </c>
      <c r="C95" s="132" t="s">
        <v>318</v>
      </c>
      <c r="D95" s="44" t="s">
        <v>105</v>
      </c>
      <c r="E95" s="45" t="s">
        <v>319</v>
      </c>
      <c r="F95" s="46" t="s">
        <v>320</v>
      </c>
      <c r="G95" s="46" t="s">
        <v>321</v>
      </c>
      <c r="H95" s="47" t="s">
        <v>108</v>
      </c>
      <c r="I95" s="48" t="s">
        <v>101</v>
      </c>
      <c r="J95" s="47" t="s">
        <v>102</v>
      </c>
      <c r="K95" s="47" t="s">
        <v>322</v>
      </c>
      <c r="L95" s="15"/>
    </row>
    <row r="96" spans="1:12" ht="36.75" customHeight="1" x14ac:dyDescent="0.25">
      <c r="A96" s="41"/>
      <c r="B96" s="130"/>
      <c r="C96" s="133"/>
      <c r="D96" s="44" t="s">
        <v>105</v>
      </c>
      <c r="E96" s="45" t="s">
        <v>323</v>
      </c>
      <c r="F96" s="46" t="s">
        <v>320</v>
      </c>
      <c r="G96" s="46" t="s">
        <v>321</v>
      </c>
      <c r="H96" s="47" t="s">
        <v>108</v>
      </c>
      <c r="I96" s="48" t="s">
        <v>101</v>
      </c>
      <c r="J96" s="47" t="s">
        <v>102</v>
      </c>
      <c r="K96" s="48" t="s">
        <v>324</v>
      </c>
      <c r="L96" s="15"/>
    </row>
    <row r="97" spans="1:12" ht="122.25" customHeight="1" x14ac:dyDescent="0.25">
      <c r="A97" s="41"/>
      <c r="B97" s="131"/>
      <c r="C97" s="134"/>
      <c r="D97" s="44" t="s">
        <v>105</v>
      </c>
      <c r="E97" s="45" t="s">
        <v>325</v>
      </c>
      <c r="F97" s="46" t="s">
        <v>326</v>
      </c>
      <c r="G97" s="46" t="s">
        <v>321</v>
      </c>
      <c r="H97" s="47" t="s">
        <v>462</v>
      </c>
      <c r="I97" s="48" t="s">
        <v>129</v>
      </c>
      <c r="J97" s="47" t="s">
        <v>130</v>
      </c>
      <c r="K97" s="47" t="s">
        <v>327</v>
      </c>
      <c r="L97" s="15"/>
    </row>
    <row r="98" spans="1:12" ht="38.25" x14ac:dyDescent="0.25">
      <c r="A98" s="41"/>
      <c r="B98" s="129">
        <v>32</v>
      </c>
      <c r="C98" s="132" t="s">
        <v>328</v>
      </c>
      <c r="D98" s="44" t="s">
        <v>105</v>
      </c>
      <c r="E98" s="45" t="s">
        <v>329</v>
      </c>
      <c r="F98" s="46" t="s">
        <v>330</v>
      </c>
      <c r="G98" s="46" t="s">
        <v>331</v>
      </c>
      <c r="H98" s="47" t="s">
        <v>108</v>
      </c>
      <c r="I98" s="48" t="s">
        <v>206</v>
      </c>
      <c r="J98" s="47" t="s">
        <v>384</v>
      </c>
      <c r="K98" s="63" t="s">
        <v>141</v>
      </c>
      <c r="L98" s="15"/>
    </row>
    <row r="99" spans="1:12" ht="51" x14ac:dyDescent="0.25">
      <c r="A99" s="41"/>
      <c r="B99" s="130"/>
      <c r="C99" s="133"/>
      <c r="D99" s="44" t="s">
        <v>105</v>
      </c>
      <c r="E99" s="45" t="s">
        <v>332</v>
      </c>
      <c r="F99" s="46" t="s">
        <v>330</v>
      </c>
      <c r="G99" s="46" t="s">
        <v>331</v>
      </c>
      <c r="H99" s="47" t="s">
        <v>149</v>
      </c>
      <c r="I99" s="48" t="s">
        <v>129</v>
      </c>
      <c r="J99" s="47" t="s">
        <v>130</v>
      </c>
      <c r="K99" s="63" t="s">
        <v>464</v>
      </c>
      <c r="L99" s="15"/>
    </row>
    <row r="100" spans="1:12" ht="153" customHeight="1" x14ac:dyDescent="0.25">
      <c r="A100" s="41"/>
      <c r="B100" s="130"/>
      <c r="C100" s="133"/>
      <c r="D100" s="44" t="s">
        <v>105</v>
      </c>
      <c r="E100" s="45" t="s">
        <v>333</v>
      </c>
      <c r="F100" s="46" t="s">
        <v>330</v>
      </c>
      <c r="G100" s="46" t="s">
        <v>331</v>
      </c>
      <c r="H100" s="47" t="s">
        <v>474</v>
      </c>
      <c r="I100" s="48" t="s">
        <v>101</v>
      </c>
      <c r="J100" s="47" t="s">
        <v>102</v>
      </c>
      <c r="K100" s="47" t="s">
        <v>465</v>
      </c>
      <c r="L100" s="15"/>
    </row>
    <row r="101" spans="1:12" ht="171" customHeight="1" x14ac:dyDescent="0.25">
      <c r="A101" s="41"/>
      <c r="B101" s="130"/>
      <c r="C101" s="133"/>
      <c r="D101" s="44" t="s">
        <v>105</v>
      </c>
      <c r="E101" s="45" t="s">
        <v>334</v>
      </c>
      <c r="F101" s="46" t="s">
        <v>330</v>
      </c>
      <c r="G101" s="46" t="s">
        <v>331</v>
      </c>
      <c r="H101" s="47" t="s">
        <v>466</v>
      </c>
      <c r="I101" s="48" t="s">
        <v>101</v>
      </c>
      <c r="J101" s="47" t="s">
        <v>102</v>
      </c>
      <c r="K101" s="64" t="s">
        <v>475</v>
      </c>
      <c r="L101" s="15"/>
    </row>
    <row r="102" spans="1:12" ht="66.75" customHeight="1" x14ac:dyDescent="0.25">
      <c r="A102" s="41"/>
      <c r="B102" s="130"/>
      <c r="C102" s="133"/>
      <c r="D102" s="44" t="s">
        <v>105</v>
      </c>
      <c r="E102" s="45" t="s">
        <v>335</v>
      </c>
      <c r="F102" s="46" t="s">
        <v>330</v>
      </c>
      <c r="G102" s="46" t="s">
        <v>331</v>
      </c>
      <c r="H102" s="47" t="s">
        <v>467</v>
      </c>
      <c r="I102" s="48" t="s">
        <v>129</v>
      </c>
      <c r="J102" s="47" t="s">
        <v>130</v>
      </c>
      <c r="K102" s="64" t="s">
        <v>476</v>
      </c>
      <c r="L102" s="15"/>
    </row>
    <row r="103" spans="1:12" ht="64.5" customHeight="1" x14ac:dyDescent="0.25">
      <c r="A103" s="41"/>
      <c r="B103" s="130"/>
      <c r="C103" s="133"/>
      <c r="D103" s="44" t="s">
        <v>105</v>
      </c>
      <c r="E103" s="45" t="s">
        <v>336</v>
      </c>
      <c r="F103" s="46" t="s">
        <v>330</v>
      </c>
      <c r="G103" s="46" t="s">
        <v>331</v>
      </c>
      <c r="H103" s="47" t="s">
        <v>468</v>
      </c>
      <c r="I103" s="48" t="s">
        <v>129</v>
      </c>
      <c r="J103" s="47" t="s">
        <v>130</v>
      </c>
      <c r="K103" s="64" t="s">
        <v>469</v>
      </c>
      <c r="L103" s="15"/>
    </row>
    <row r="104" spans="1:12" ht="45.75" customHeight="1" x14ac:dyDescent="0.25">
      <c r="A104" s="41"/>
      <c r="B104" s="130"/>
      <c r="C104" s="133"/>
      <c r="D104" s="44" t="s">
        <v>337</v>
      </c>
      <c r="E104" s="45" t="s">
        <v>338</v>
      </c>
      <c r="F104" s="46" t="s">
        <v>330</v>
      </c>
      <c r="G104" s="46" t="s">
        <v>331</v>
      </c>
      <c r="H104" s="47" t="s">
        <v>470</v>
      </c>
      <c r="I104" s="48" t="s">
        <v>129</v>
      </c>
      <c r="J104" s="47" t="s">
        <v>130</v>
      </c>
      <c r="K104" s="65" t="s">
        <v>471</v>
      </c>
      <c r="L104" s="15"/>
    </row>
    <row r="105" spans="1:12" ht="65.25" customHeight="1" x14ac:dyDescent="0.25">
      <c r="A105" s="41"/>
      <c r="B105" s="130"/>
      <c r="C105" s="133"/>
      <c r="D105" s="44" t="s">
        <v>105</v>
      </c>
      <c r="E105" s="45" t="s">
        <v>339</v>
      </c>
      <c r="F105" s="46" t="s">
        <v>330</v>
      </c>
      <c r="G105" s="46" t="s">
        <v>331</v>
      </c>
      <c r="H105" s="47" t="s">
        <v>149</v>
      </c>
      <c r="I105" s="48" t="s">
        <v>129</v>
      </c>
      <c r="J105" s="47" t="s">
        <v>130</v>
      </c>
      <c r="K105" s="65" t="s">
        <v>472</v>
      </c>
      <c r="L105" s="15"/>
    </row>
    <row r="106" spans="1:12" ht="38.25" x14ac:dyDescent="0.25">
      <c r="A106" s="41"/>
      <c r="B106" s="131"/>
      <c r="C106" s="134"/>
      <c r="D106" s="44" t="s">
        <v>105</v>
      </c>
      <c r="E106" s="45" t="s">
        <v>340</v>
      </c>
      <c r="F106" s="46" t="s">
        <v>341</v>
      </c>
      <c r="G106" s="46" t="s">
        <v>331</v>
      </c>
      <c r="H106" s="47" t="s">
        <v>5</v>
      </c>
      <c r="I106" s="48" t="s">
        <v>129</v>
      </c>
      <c r="J106" s="47" t="s">
        <v>130</v>
      </c>
      <c r="K106" s="65" t="s">
        <v>473</v>
      </c>
      <c r="L106" s="15"/>
    </row>
    <row r="107" spans="1:12" ht="98.45" customHeight="1" x14ac:dyDescent="0.25">
      <c r="A107" s="41"/>
      <c r="B107" s="129">
        <v>33</v>
      </c>
      <c r="C107" s="132" t="s">
        <v>342</v>
      </c>
      <c r="D107" s="44" t="s">
        <v>105</v>
      </c>
      <c r="E107" s="45" t="s">
        <v>343</v>
      </c>
      <c r="F107" s="46" t="s">
        <v>344</v>
      </c>
      <c r="G107" s="46" t="s">
        <v>331</v>
      </c>
      <c r="H107" s="47" t="s">
        <v>149</v>
      </c>
      <c r="I107" s="48" t="s">
        <v>129</v>
      </c>
      <c r="J107" s="47" t="s">
        <v>130</v>
      </c>
      <c r="K107" s="66" t="s">
        <v>345</v>
      </c>
      <c r="L107" s="15"/>
    </row>
    <row r="108" spans="1:12" ht="51.75" customHeight="1" x14ac:dyDescent="0.25">
      <c r="A108" s="41"/>
      <c r="B108" s="130"/>
      <c r="C108" s="133"/>
      <c r="D108" s="44" t="s">
        <v>105</v>
      </c>
      <c r="E108" s="45" t="s">
        <v>346</v>
      </c>
      <c r="F108" s="46" t="s">
        <v>344</v>
      </c>
      <c r="G108" s="46" t="s">
        <v>331</v>
      </c>
      <c r="H108" s="47" t="s">
        <v>149</v>
      </c>
      <c r="I108" s="48" t="s">
        <v>129</v>
      </c>
      <c r="J108" s="47" t="s">
        <v>130</v>
      </c>
      <c r="K108" s="66" t="s">
        <v>345</v>
      </c>
      <c r="L108" s="15"/>
    </row>
    <row r="109" spans="1:12" ht="138" customHeight="1" x14ac:dyDescent="0.25">
      <c r="A109" s="41"/>
      <c r="B109" s="131"/>
      <c r="C109" s="134"/>
      <c r="D109" s="44" t="s">
        <v>105</v>
      </c>
      <c r="E109" s="45" t="s">
        <v>347</v>
      </c>
      <c r="F109" s="46" t="s">
        <v>344</v>
      </c>
      <c r="G109" s="46" t="s">
        <v>331</v>
      </c>
      <c r="H109" s="47" t="s">
        <v>149</v>
      </c>
      <c r="I109" s="48" t="s">
        <v>129</v>
      </c>
      <c r="J109" s="47" t="s">
        <v>130</v>
      </c>
      <c r="K109" s="66" t="s">
        <v>345</v>
      </c>
      <c r="L109" s="15"/>
    </row>
    <row r="110" spans="1:12" ht="48" customHeight="1" x14ac:dyDescent="0.25">
      <c r="A110" s="41"/>
      <c r="B110" s="42">
        <v>34</v>
      </c>
      <c r="C110" s="43" t="s">
        <v>348</v>
      </c>
      <c r="D110" s="44" t="s">
        <v>105</v>
      </c>
      <c r="E110" s="67" t="s">
        <v>349</v>
      </c>
      <c r="F110" s="46" t="s">
        <v>141</v>
      </c>
      <c r="G110" s="46" t="s">
        <v>141</v>
      </c>
      <c r="H110" s="47" t="s">
        <v>136</v>
      </c>
      <c r="I110" s="48" t="s">
        <v>129</v>
      </c>
      <c r="J110" s="47" t="s">
        <v>130</v>
      </c>
      <c r="K110" s="47" t="s">
        <v>350</v>
      </c>
      <c r="L110" s="15"/>
    </row>
    <row r="111" spans="1:12" ht="25.5" x14ac:dyDescent="0.25">
      <c r="A111" s="41"/>
      <c r="B111" s="138">
        <v>35</v>
      </c>
      <c r="C111" s="132" t="s">
        <v>351</v>
      </c>
      <c r="D111" s="44" t="s">
        <v>337</v>
      </c>
      <c r="E111" s="45" t="s">
        <v>352</v>
      </c>
      <c r="F111" s="135" t="s">
        <v>353</v>
      </c>
      <c r="G111" s="135" t="s">
        <v>354</v>
      </c>
      <c r="H111" s="47" t="s">
        <v>355</v>
      </c>
      <c r="I111" s="48" t="s">
        <v>129</v>
      </c>
      <c r="J111" s="47" t="s">
        <v>130</v>
      </c>
      <c r="K111" s="47" t="s">
        <v>350</v>
      </c>
      <c r="L111" s="15"/>
    </row>
    <row r="112" spans="1:12" ht="25.5" x14ac:dyDescent="0.25">
      <c r="A112" s="41"/>
      <c r="B112" s="139"/>
      <c r="C112" s="133"/>
      <c r="D112" s="138" t="s">
        <v>116</v>
      </c>
      <c r="E112" s="45" t="s">
        <v>356</v>
      </c>
      <c r="F112" s="136"/>
      <c r="G112" s="136"/>
      <c r="H112" s="47" t="s">
        <v>141</v>
      </c>
      <c r="I112" s="48" t="s">
        <v>129</v>
      </c>
      <c r="J112" s="47" t="s">
        <v>130</v>
      </c>
      <c r="K112" s="47" t="s">
        <v>350</v>
      </c>
      <c r="L112" s="15"/>
    </row>
    <row r="113" spans="1:12" ht="25.5" x14ac:dyDescent="0.25">
      <c r="A113" s="41"/>
      <c r="B113" s="139"/>
      <c r="C113" s="133"/>
      <c r="D113" s="139"/>
      <c r="E113" s="45" t="s">
        <v>357</v>
      </c>
      <c r="F113" s="136"/>
      <c r="G113" s="136"/>
      <c r="H113" s="47" t="s">
        <v>141</v>
      </c>
      <c r="I113" s="48" t="s">
        <v>129</v>
      </c>
      <c r="J113" s="47" t="s">
        <v>130</v>
      </c>
      <c r="K113" s="47" t="s">
        <v>350</v>
      </c>
      <c r="L113" s="15"/>
    </row>
    <row r="114" spans="1:12" ht="25.5" x14ac:dyDescent="0.25">
      <c r="A114" s="41"/>
      <c r="B114" s="139"/>
      <c r="C114" s="133"/>
      <c r="D114" s="139"/>
      <c r="E114" s="45" t="s">
        <v>358</v>
      </c>
      <c r="F114" s="136"/>
      <c r="G114" s="136"/>
      <c r="H114" s="47" t="s">
        <v>141</v>
      </c>
      <c r="I114" s="48" t="s">
        <v>129</v>
      </c>
      <c r="J114" s="47" t="s">
        <v>130</v>
      </c>
      <c r="K114" s="47" t="s">
        <v>350</v>
      </c>
      <c r="L114" s="15"/>
    </row>
    <row r="115" spans="1:12" ht="25.5" x14ac:dyDescent="0.25">
      <c r="A115" s="41"/>
      <c r="B115" s="139"/>
      <c r="C115" s="133"/>
      <c r="D115" s="139"/>
      <c r="E115" s="45" t="s">
        <v>359</v>
      </c>
      <c r="F115" s="136"/>
      <c r="G115" s="136"/>
      <c r="H115" s="47" t="s">
        <v>141</v>
      </c>
      <c r="I115" s="48" t="s">
        <v>129</v>
      </c>
      <c r="J115" s="47" t="s">
        <v>130</v>
      </c>
      <c r="K115" s="47" t="s">
        <v>350</v>
      </c>
      <c r="L115" s="15"/>
    </row>
    <row r="116" spans="1:12" ht="25.5" x14ac:dyDescent="0.25">
      <c r="A116" s="41"/>
      <c r="B116" s="139"/>
      <c r="C116" s="133"/>
      <c r="D116" s="139"/>
      <c r="E116" s="45" t="s">
        <v>360</v>
      </c>
      <c r="F116" s="136"/>
      <c r="G116" s="136"/>
      <c r="H116" s="47" t="s">
        <v>141</v>
      </c>
      <c r="I116" s="48" t="s">
        <v>129</v>
      </c>
      <c r="J116" s="47" t="s">
        <v>130</v>
      </c>
      <c r="K116" s="47" t="s">
        <v>350</v>
      </c>
      <c r="L116" s="15"/>
    </row>
    <row r="117" spans="1:12" ht="25.5" x14ac:dyDescent="0.25">
      <c r="A117" s="41"/>
      <c r="B117" s="139"/>
      <c r="C117" s="133"/>
      <c r="D117" s="140"/>
      <c r="E117" s="45" t="s">
        <v>361</v>
      </c>
      <c r="F117" s="137"/>
      <c r="G117" s="137"/>
      <c r="H117" s="47" t="s">
        <v>141</v>
      </c>
      <c r="I117" s="48" t="s">
        <v>129</v>
      </c>
      <c r="J117" s="47" t="s">
        <v>130</v>
      </c>
      <c r="K117" s="47" t="s">
        <v>350</v>
      </c>
      <c r="L117" s="15"/>
    </row>
    <row r="118" spans="1:12" ht="72.75" customHeight="1" x14ac:dyDescent="0.25">
      <c r="A118" s="41"/>
      <c r="B118" s="140"/>
      <c r="C118" s="134"/>
      <c r="D118" s="44" t="s">
        <v>105</v>
      </c>
      <c r="E118" s="45" t="s">
        <v>362</v>
      </c>
      <c r="F118" s="46" t="s">
        <v>363</v>
      </c>
      <c r="G118" s="46" t="s">
        <v>354</v>
      </c>
      <c r="H118" s="47" t="s">
        <v>364</v>
      </c>
      <c r="I118" s="48" t="s">
        <v>129</v>
      </c>
      <c r="J118" s="47" t="s">
        <v>130</v>
      </c>
      <c r="K118" s="47" t="s">
        <v>350</v>
      </c>
      <c r="L118" s="15"/>
    </row>
    <row r="119" spans="1:12" ht="123" customHeight="1" x14ac:dyDescent="0.25">
      <c r="A119" s="41"/>
      <c r="B119" s="129">
        <v>36</v>
      </c>
      <c r="C119" s="132" t="s">
        <v>365</v>
      </c>
      <c r="D119" s="44" t="s">
        <v>105</v>
      </c>
      <c r="E119" s="45" t="s">
        <v>366</v>
      </c>
      <c r="F119" s="46" t="s">
        <v>367</v>
      </c>
      <c r="G119" s="46" t="s">
        <v>368</v>
      </c>
      <c r="H119" s="47" t="s">
        <v>209</v>
      </c>
      <c r="I119" s="48" t="s">
        <v>206</v>
      </c>
      <c r="J119" s="47" t="s">
        <v>141</v>
      </c>
      <c r="K119" s="47" t="s">
        <v>141</v>
      </c>
      <c r="L119" s="15"/>
    </row>
    <row r="120" spans="1:12" ht="26.25" customHeight="1" x14ac:dyDescent="0.25">
      <c r="A120" s="41"/>
      <c r="B120" s="130"/>
      <c r="C120" s="133"/>
      <c r="D120" s="44" t="s">
        <v>105</v>
      </c>
      <c r="E120" s="45" t="s">
        <v>369</v>
      </c>
      <c r="F120" s="46" t="s">
        <v>370</v>
      </c>
      <c r="G120" s="46" t="s">
        <v>368</v>
      </c>
      <c r="H120" s="47" t="s">
        <v>209</v>
      </c>
      <c r="I120" s="48" t="s">
        <v>206</v>
      </c>
      <c r="J120" s="47" t="s">
        <v>141</v>
      </c>
      <c r="K120" s="47" t="s">
        <v>141</v>
      </c>
      <c r="L120" s="15"/>
    </row>
    <row r="121" spans="1:12" ht="40.5" customHeight="1" x14ac:dyDescent="0.25">
      <c r="A121" s="41"/>
      <c r="B121" s="130"/>
      <c r="C121" s="133"/>
      <c r="D121" s="44" t="s">
        <v>96</v>
      </c>
      <c r="E121" s="45" t="s">
        <v>371</v>
      </c>
      <c r="F121" s="46" t="s">
        <v>372</v>
      </c>
      <c r="G121" s="46" t="s">
        <v>373</v>
      </c>
      <c r="H121" s="47" t="s">
        <v>209</v>
      </c>
      <c r="I121" s="48" t="s">
        <v>206</v>
      </c>
      <c r="J121" s="47" t="s">
        <v>141</v>
      </c>
      <c r="K121" s="47" t="s">
        <v>141</v>
      </c>
      <c r="L121" s="15"/>
    </row>
    <row r="122" spans="1:12" ht="37.5" customHeight="1" x14ac:dyDescent="0.25">
      <c r="A122" s="41"/>
      <c r="B122" s="130"/>
      <c r="C122" s="133"/>
      <c r="D122" s="44" t="s">
        <v>105</v>
      </c>
      <c r="E122" s="45" t="s">
        <v>374</v>
      </c>
      <c r="F122" s="46" t="s">
        <v>375</v>
      </c>
      <c r="G122" s="46" t="s">
        <v>373</v>
      </c>
      <c r="H122" s="47" t="s">
        <v>209</v>
      </c>
      <c r="I122" s="48" t="s">
        <v>206</v>
      </c>
      <c r="J122" s="47" t="s">
        <v>141</v>
      </c>
      <c r="K122" s="47" t="s">
        <v>141</v>
      </c>
      <c r="L122" s="15"/>
    </row>
    <row r="123" spans="1:12" ht="114.75" x14ac:dyDescent="0.25">
      <c r="A123" s="41"/>
      <c r="B123" s="130"/>
      <c r="C123" s="133"/>
      <c r="D123" s="44" t="s">
        <v>105</v>
      </c>
      <c r="E123" s="45" t="s">
        <v>376</v>
      </c>
      <c r="F123" s="46" t="s">
        <v>377</v>
      </c>
      <c r="G123" s="46" t="s">
        <v>373</v>
      </c>
      <c r="H123" s="47" t="s">
        <v>209</v>
      </c>
      <c r="I123" s="48" t="s">
        <v>206</v>
      </c>
      <c r="J123" s="47" t="s">
        <v>141</v>
      </c>
      <c r="K123" s="47" t="s">
        <v>141</v>
      </c>
      <c r="L123" s="15"/>
    </row>
    <row r="124" spans="1:12" ht="45" customHeight="1" x14ac:dyDescent="0.25">
      <c r="A124" s="41"/>
      <c r="B124" s="130"/>
      <c r="C124" s="133"/>
      <c r="D124" s="44" t="s">
        <v>105</v>
      </c>
      <c r="E124" s="45" t="s">
        <v>378</v>
      </c>
      <c r="F124" s="46" t="s">
        <v>379</v>
      </c>
      <c r="G124" s="46" t="s">
        <v>373</v>
      </c>
      <c r="H124" s="47" t="s">
        <v>209</v>
      </c>
      <c r="I124" s="48" t="s">
        <v>206</v>
      </c>
      <c r="J124" s="47" t="s">
        <v>141</v>
      </c>
      <c r="K124" s="47" t="s">
        <v>141</v>
      </c>
      <c r="L124" s="15"/>
    </row>
    <row r="125" spans="1:12" ht="113.25" customHeight="1" x14ac:dyDescent="0.25">
      <c r="A125" s="41"/>
      <c r="B125" s="131"/>
      <c r="C125" s="134"/>
      <c r="D125" s="44" t="s">
        <v>105</v>
      </c>
      <c r="E125" s="57" t="s">
        <v>380</v>
      </c>
      <c r="F125" s="46" t="s">
        <v>381</v>
      </c>
      <c r="G125" s="46" t="s">
        <v>373</v>
      </c>
      <c r="H125" s="47" t="s">
        <v>382</v>
      </c>
      <c r="I125" s="48" t="s">
        <v>206</v>
      </c>
      <c r="J125" s="47" t="s">
        <v>141</v>
      </c>
      <c r="K125" s="47" t="s">
        <v>141</v>
      </c>
      <c r="L125" s="15"/>
    </row>
    <row r="126" spans="1:12" x14ac:dyDescent="0.25">
      <c r="A126" s="9"/>
      <c r="B126" s="68"/>
      <c r="C126" s="6"/>
      <c r="D126" s="12"/>
      <c r="E126" s="9"/>
      <c r="F126" s="13"/>
      <c r="G126" s="13"/>
      <c r="H126" s="14"/>
      <c r="I126" s="11"/>
      <c r="J126" s="14"/>
      <c r="K126" s="11"/>
      <c r="L126" s="15"/>
    </row>
    <row r="127" spans="1:12" x14ac:dyDescent="0.25">
      <c r="A127" s="9"/>
      <c r="B127" s="68"/>
      <c r="C127" s="6"/>
      <c r="D127" s="12"/>
      <c r="E127" s="9"/>
      <c r="F127" s="13"/>
      <c r="G127" s="13"/>
      <c r="H127" s="14"/>
      <c r="I127" s="11"/>
      <c r="J127" s="14"/>
      <c r="K127" s="11"/>
      <c r="L127" s="15"/>
    </row>
    <row r="128" spans="1:12" x14ac:dyDescent="0.25">
      <c r="A128" s="9"/>
      <c r="B128" s="68"/>
      <c r="C128" s="6"/>
      <c r="D128" s="12"/>
      <c r="E128" s="9"/>
      <c r="F128" s="13"/>
      <c r="G128" s="13"/>
      <c r="H128" s="14"/>
      <c r="I128" s="11"/>
      <c r="J128" s="14"/>
      <c r="K128" s="11"/>
      <c r="L128" s="15"/>
    </row>
  </sheetData>
  <autoFilter ref="B5:K5" xr:uid="{1F8B3400-8733-3B41-AE17-C4B89911827A}"/>
  <mergeCells count="62">
    <mergeCell ref="F111:F117"/>
    <mergeCell ref="G111:G117"/>
    <mergeCell ref="D112:D117"/>
    <mergeCell ref="B119:B125"/>
    <mergeCell ref="C119:C125"/>
    <mergeCell ref="B107:B109"/>
    <mergeCell ref="C107:C109"/>
    <mergeCell ref="B111:B118"/>
    <mergeCell ref="C111:C118"/>
    <mergeCell ref="B77:B81"/>
    <mergeCell ref="C77:C81"/>
    <mergeCell ref="B93:B94"/>
    <mergeCell ref="B95:B97"/>
    <mergeCell ref="C95:C97"/>
    <mergeCell ref="B98:B106"/>
    <mergeCell ref="C98:C106"/>
    <mergeCell ref="F77:F81"/>
    <mergeCell ref="G77:G81"/>
    <mergeCell ref="D78:D81"/>
    <mergeCell ref="B82:B92"/>
    <mergeCell ref="C82:C92"/>
    <mergeCell ref="F82:F92"/>
    <mergeCell ref="G82:G92"/>
    <mergeCell ref="D85:D92"/>
    <mergeCell ref="B64:B66"/>
    <mergeCell ref="C64:C66"/>
    <mergeCell ref="B71:B75"/>
    <mergeCell ref="C71:C75"/>
    <mergeCell ref="F71:F75"/>
    <mergeCell ref="D72:D75"/>
    <mergeCell ref="F36:F38"/>
    <mergeCell ref="G36:G38"/>
    <mergeCell ref="D37:D38"/>
    <mergeCell ref="B62:B63"/>
    <mergeCell ref="C62:C63"/>
    <mergeCell ref="B42:B44"/>
    <mergeCell ref="C42:C44"/>
    <mergeCell ref="B46:B47"/>
    <mergeCell ref="C46:C47"/>
    <mergeCell ref="B48:B49"/>
    <mergeCell ref="C48:C49"/>
    <mergeCell ref="B50:B59"/>
    <mergeCell ref="C50:C59"/>
    <mergeCell ref="F52:F59"/>
    <mergeCell ref="G52:G59"/>
    <mergeCell ref="D53:D59"/>
    <mergeCell ref="B40:B41"/>
    <mergeCell ref="C40:C41"/>
    <mergeCell ref="B21:B23"/>
    <mergeCell ref="C21:C23"/>
    <mergeCell ref="B24:B27"/>
    <mergeCell ref="C24:C27"/>
    <mergeCell ref="B28:B33"/>
    <mergeCell ref="C28:C33"/>
    <mergeCell ref="B36:B38"/>
    <mergeCell ref="C36:C38"/>
    <mergeCell ref="B2:K3"/>
    <mergeCell ref="B10:B20"/>
    <mergeCell ref="C10:C20"/>
    <mergeCell ref="F10:F20"/>
    <mergeCell ref="G10:G20"/>
    <mergeCell ref="D11:D20"/>
  </mergeCells>
  <dataValidations count="2">
    <dataValidation type="list" allowBlank="1" showInputMessage="1" showErrorMessage="1" sqref="I7:I9 I11:I35 I37:I51 I53:I70 I72:I76 I78:I83 I85:I125" xr:uid="{05A36B4C-F2FC-344C-BFD4-F38313F15D60}">
      <formula1>"Não iniciado,Em andamento,Finalizado"</formula1>
    </dataValidation>
    <dataValidation type="list" allowBlank="1" showInputMessage="1" showErrorMessage="1" sqref="J7:J9 J11:J35 J37:J51 J53:J70 J72:J76 J78:J83 J85:J125" xr:uid="{4462210A-52A5-4A4D-A29F-1E640469A3BF}">
      <formula1>"Aderente,Parcialmente aderente,Não aderente,N/A"</formula1>
    </dataValidation>
  </dataValidation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AE5E-1E7C-C340-A1A0-257EF8CBA6D8}">
  <dimension ref="B1:AR81"/>
  <sheetViews>
    <sheetView showGridLines="0" topLeftCell="A28" zoomScale="73" zoomScaleNormal="73" workbookViewId="0">
      <selection activeCell="D63" sqref="D63"/>
    </sheetView>
  </sheetViews>
  <sheetFormatPr defaultColWidth="9.125" defaultRowHeight="15" x14ac:dyDescent="0.25"/>
  <cols>
    <col min="1" max="1" width="3.625" style="1" customWidth="1"/>
    <col min="2" max="2" width="37.375" style="1" bestFit="1" customWidth="1"/>
    <col min="3" max="3" width="27.875" style="1" customWidth="1"/>
    <col min="4" max="4" width="10.375" style="1" customWidth="1"/>
    <col min="5" max="5" width="35.625" style="1" customWidth="1"/>
    <col min="6" max="6" width="29" style="1" customWidth="1"/>
    <col min="7" max="7" width="10.875" style="1" customWidth="1"/>
    <col min="8" max="8" width="37.125" style="1" customWidth="1"/>
    <col min="9" max="9" width="18.5" style="1" customWidth="1"/>
    <col min="10" max="10" width="9.625" style="1" bestFit="1" customWidth="1"/>
    <col min="11" max="11" width="9.125" style="1"/>
    <col min="12" max="12" width="28.625" style="1" customWidth="1"/>
    <col min="13" max="13" width="32.5" style="1" customWidth="1"/>
    <col min="14" max="16384" width="9.125" style="1"/>
  </cols>
  <sheetData>
    <row r="1" spans="2:44" x14ac:dyDescent="0.25">
      <c r="K1" s="75"/>
      <c r="L1" s="75"/>
      <c r="M1" s="75"/>
    </row>
    <row r="2" spans="2:44" ht="16.5" customHeight="1" x14ac:dyDescent="0.25">
      <c r="B2" s="128" t="s">
        <v>383</v>
      </c>
      <c r="C2" s="128"/>
      <c r="D2" s="128"/>
      <c r="E2" s="128"/>
      <c r="F2" s="128"/>
      <c r="G2" s="128"/>
      <c r="H2" s="128"/>
      <c r="I2" s="128"/>
      <c r="J2" s="128"/>
      <c r="K2" s="75"/>
      <c r="M2" s="76"/>
    </row>
    <row r="3" spans="2:44" ht="13.5" customHeight="1" x14ac:dyDescent="0.25">
      <c r="B3" s="128"/>
      <c r="C3" s="128"/>
      <c r="D3" s="128"/>
      <c r="E3" s="128"/>
      <c r="F3" s="128"/>
      <c r="G3" s="128"/>
      <c r="H3" s="128"/>
      <c r="I3" s="128"/>
      <c r="J3" s="128"/>
      <c r="K3" s="75"/>
      <c r="L3" s="75"/>
      <c r="M3" s="76"/>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row>
    <row r="4" spans="2:44" ht="18.75" customHeight="1" x14ac:dyDescent="0.25">
      <c r="K4" s="75"/>
      <c r="L4" s="75"/>
      <c r="M4" s="76"/>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row>
    <row r="5" spans="2:44" x14ac:dyDescent="0.25">
      <c r="B5" s="148" t="s">
        <v>312</v>
      </c>
      <c r="C5" s="148"/>
      <c r="D5" s="77">
        <v>0</v>
      </c>
      <c r="E5" s="148" t="s">
        <v>145</v>
      </c>
      <c r="F5" s="148"/>
      <c r="G5" s="78">
        <f>COUNTIF(F7:F9,"Aderente")/COUNTA(F7:F9)</f>
        <v>0</v>
      </c>
      <c r="H5" s="148" t="s">
        <v>318</v>
      </c>
      <c r="I5" s="148"/>
      <c r="J5" s="78">
        <f>COUNTIF(I7:I8,"Aderente")/COUNTA(I7:I8)</f>
        <v>0</v>
      </c>
      <c r="K5" s="75"/>
      <c r="L5" s="75"/>
      <c r="M5" s="75"/>
      <c r="N5" s="75"/>
      <c r="O5" s="75"/>
      <c r="P5" s="75"/>
      <c r="Q5" s="75"/>
      <c r="R5" s="75"/>
      <c r="S5" s="75"/>
      <c r="T5" s="75"/>
      <c r="U5" s="75"/>
      <c r="V5" s="75"/>
      <c r="W5" s="75"/>
      <c r="X5" s="75"/>
      <c r="Y5" s="75"/>
      <c r="Z5" s="75"/>
      <c r="AA5" s="75"/>
      <c r="AB5" s="75"/>
      <c r="AC5" s="75"/>
      <c r="AD5" s="75"/>
      <c r="AE5" s="75"/>
      <c r="AF5" s="75"/>
      <c r="AG5" s="75"/>
      <c r="AH5" s="75"/>
      <c r="AI5" s="75"/>
      <c r="AJ5" s="75"/>
      <c r="AK5" s="75"/>
      <c r="AL5" s="75"/>
      <c r="AM5" s="75"/>
      <c r="AN5" s="75"/>
      <c r="AO5" s="75"/>
      <c r="AP5" s="75"/>
      <c r="AQ5" s="75"/>
      <c r="AR5" s="75"/>
    </row>
    <row r="6" spans="2:44" x14ac:dyDescent="0.25">
      <c r="B6" s="79" t="s">
        <v>385</v>
      </c>
      <c r="C6" s="79" t="s">
        <v>386</v>
      </c>
      <c r="D6" s="77">
        <v>1</v>
      </c>
      <c r="E6" s="79" t="s">
        <v>385</v>
      </c>
      <c r="F6" s="79" t="s">
        <v>386</v>
      </c>
      <c r="G6" s="77">
        <f>COUNTIF(F7:F9,"Não Aderente")/COUNTA(F7:F9)</f>
        <v>1</v>
      </c>
      <c r="H6" s="79" t="s">
        <v>385</v>
      </c>
      <c r="I6" s="79" t="s">
        <v>386</v>
      </c>
      <c r="J6" s="78">
        <f>COUNTIF(I7:I8,"Não Aderente")/COUNTA(I7:I8)</f>
        <v>1</v>
      </c>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row>
    <row r="7" spans="2:44" x14ac:dyDescent="0.25">
      <c r="B7" s="1" t="s">
        <v>387</v>
      </c>
      <c r="C7" s="1" t="str">
        <f>Controles!J93</f>
        <v>Não aderente</v>
      </c>
      <c r="D7" s="77">
        <v>0</v>
      </c>
      <c r="E7" s="1" t="s">
        <v>388</v>
      </c>
      <c r="F7" s="1" t="str">
        <f>Controles!J25</f>
        <v>Não aderente</v>
      </c>
      <c r="G7" s="78">
        <f>COUNTIF(F7:F9,"Parcialmente Aderente")/COUNTA(F7:F9)</f>
        <v>0</v>
      </c>
      <c r="H7" s="1" t="s">
        <v>389</v>
      </c>
      <c r="I7" s="1" t="s">
        <v>130</v>
      </c>
      <c r="J7" s="78">
        <f>COUNTIF(I7:I8,"Parcialmente Aderentemente Aderente")/COUNTA(I7:I8)</f>
        <v>0</v>
      </c>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c r="AL7" s="75"/>
      <c r="AM7" s="75"/>
      <c r="AN7" s="75"/>
      <c r="AO7" s="75"/>
      <c r="AP7" s="75"/>
      <c r="AQ7" s="75"/>
      <c r="AR7" s="75"/>
    </row>
    <row r="8" spans="2:44" x14ac:dyDescent="0.25">
      <c r="D8" s="77">
        <v>0</v>
      </c>
      <c r="E8" s="1" t="s">
        <v>390</v>
      </c>
      <c r="F8" s="1" t="str">
        <f>Controles!J26</f>
        <v>Não aderente</v>
      </c>
      <c r="G8" s="77">
        <f>COUNTIF(F7:F9,"N/A")/COUNTA(F7:F9)</f>
        <v>0</v>
      </c>
      <c r="H8" s="1" t="s">
        <v>391</v>
      </c>
      <c r="I8" s="1" t="s">
        <v>130</v>
      </c>
      <c r="J8" s="77">
        <f>COUNTIF(I7:I8,"N/A")/COUNTA(I7:I8)</f>
        <v>0</v>
      </c>
      <c r="K8" s="75"/>
      <c r="L8" s="75"/>
      <c r="M8" s="75"/>
      <c r="N8" s="75"/>
      <c r="O8" s="75"/>
      <c r="P8" s="75"/>
      <c r="Q8" s="75"/>
      <c r="R8" s="75"/>
      <c r="S8" s="75"/>
      <c r="T8" s="75"/>
      <c r="U8" s="75"/>
      <c r="V8" s="75"/>
      <c r="W8" s="75"/>
      <c r="X8" s="75"/>
      <c r="Y8" s="75"/>
      <c r="Z8" s="75"/>
      <c r="AA8" s="75"/>
      <c r="AB8" s="75"/>
      <c r="AC8" s="75"/>
      <c r="AD8" s="75"/>
      <c r="AE8" s="75"/>
      <c r="AF8" s="75"/>
      <c r="AG8" s="75"/>
      <c r="AH8" s="75"/>
      <c r="AI8" s="75"/>
      <c r="AJ8" s="75"/>
      <c r="AK8" s="75"/>
      <c r="AL8" s="75"/>
      <c r="AM8" s="75"/>
      <c r="AN8" s="75"/>
      <c r="AO8" s="75"/>
      <c r="AP8" s="75"/>
      <c r="AQ8" s="75"/>
      <c r="AR8" s="75"/>
    </row>
    <row r="9" spans="2:44" x14ac:dyDescent="0.25">
      <c r="B9" s="148" t="s">
        <v>158</v>
      </c>
      <c r="C9" s="148"/>
      <c r="D9" s="80">
        <v>0</v>
      </c>
      <c r="E9" s="1" t="s">
        <v>392</v>
      </c>
      <c r="F9" s="1" t="str">
        <f>Controles!J27</f>
        <v>Não aderente</v>
      </c>
      <c r="G9" s="77"/>
      <c r="J9" s="77"/>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row>
    <row r="10" spans="2:44" x14ac:dyDescent="0.25">
      <c r="B10" s="79" t="s">
        <v>385</v>
      </c>
      <c r="C10" s="79" t="s">
        <v>386</v>
      </c>
      <c r="D10" s="78">
        <v>0.5</v>
      </c>
      <c r="G10" s="77"/>
      <c r="H10" s="148" t="s">
        <v>393</v>
      </c>
      <c r="I10" s="148"/>
      <c r="J10" s="78">
        <f>COUNTIF(I12:I13,"Aderente")/COUNTA(I12:I13)</f>
        <v>0</v>
      </c>
      <c r="K10" s="75"/>
      <c r="L10" s="75"/>
      <c r="M10" s="75"/>
      <c r="N10" s="75"/>
      <c r="O10" s="75"/>
      <c r="P10" s="75"/>
      <c r="Q10" s="75"/>
      <c r="R10" s="75"/>
      <c r="S10" s="75"/>
      <c r="T10" s="75"/>
      <c r="U10" s="75"/>
      <c r="V10" s="75"/>
      <c r="W10" s="75"/>
      <c r="X10" s="75"/>
      <c r="Y10" s="75"/>
      <c r="Z10" s="75"/>
      <c r="AA10" s="75"/>
      <c r="AB10" s="75"/>
      <c r="AC10" s="75"/>
      <c r="AD10" s="75"/>
      <c r="AE10" s="75"/>
      <c r="AF10" s="75"/>
      <c r="AG10" s="75"/>
      <c r="AH10" s="75"/>
      <c r="AI10" s="75"/>
      <c r="AJ10" s="75"/>
      <c r="AK10" s="75"/>
      <c r="AL10" s="75"/>
      <c r="AM10" s="75"/>
      <c r="AN10" s="75"/>
      <c r="AO10" s="75"/>
      <c r="AP10" s="75"/>
      <c r="AQ10" s="75"/>
      <c r="AR10" s="75"/>
    </row>
    <row r="11" spans="2:44" ht="30" x14ac:dyDescent="0.25">
      <c r="B11" s="81" t="s">
        <v>394</v>
      </c>
      <c r="C11" s="1" t="str">
        <f>Controles!J28</f>
        <v>Não aderente</v>
      </c>
      <c r="D11" s="80">
        <v>0.33333333333333331</v>
      </c>
      <c r="E11" s="148" t="s">
        <v>14</v>
      </c>
      <c r="F11" s="148"/>
      <c r="G11" s="78">
        <f>COUNTIF(F13:F13,"Aderente")/COUNTA(F13:F13)</f>
        <v>0</v>
      </c>
      <c r="H11" s="79" t="s">
        <v>385</v>
      </c>
      <c r="I11" s="79" t="s">
        <v>386</v>
      </c>
      <c r="J11" s="78">
        <f>COUNTIF(I12:I13,"Não Aderente")/COUNTA(I12:I13)</f>
        <v>1</v>
      </c>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row>
    <row r="12" spans="2:44" ht="30" x14ac:dyDescent="0.25">
      <c r="B12" s="81" t="s">
        <v>395</v>
      </c>
      <c r="C12" s="1" t="str">
        <f>Controles!J29</f>
        <v>Não aderente</v>
      </c>
      <c r="D12" s="78">
        <v>0.16666666666666666</v>
      </c>
      <c r="E12" s="79" t="s">
        <v>385</v>
      </c>
      <c r="F12" s="79" t="s">
        <v>386</v>
      </c>
      <c r="G12" s="78">
        <f>COUNTIF(F13:F13,"Não Aderente")/COUNTA(F13:F13)</f>
        <v>1</v>
      </c>
      <c r="H12" s="1" t="s">
        <v>396</v>
      </c>
      <c r="I12" s="1" t="str">
        <f>Controles!J111</f>
        <v>Não aderente</v>
      </c>
      <c r="J12" s="78">
        <f>COUNTIF(I12:I13,"Parcialmente Aderentemente Aderente")/COUNTA(I12:I13)</f>
        <v>0</v>
      </c>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row>
    <row r="13" spans="2:44" x14ac:dyDescent="0.25">
      <c r="B13" s="81" t="s">
        <v>397</v>
      </c>
      <c r="C13" s="1" t="str">
        <f>Controles!J30</f>
        <v>Não aderente</v>
      </c>
      <c r="D13" s="77"/>
      <c r="E13" s="1" t="s">
        <v>398</v>
      </c>
      <c r="F13" s="1" t="str">
        <f>Controles!J107</f>
        <v>Não aderente</v>
      </c>
      <c r="G13" s="78">
        <f>COUNTIF(F13:F13,"Parcialmente Aderente")/COUNTA(F13:F13)</f>
        <v>0</v>
      </c>
      <c r="H13" s="1" t="s">
        <v>399</v>
      </c>
      <c r="I13" s="1" t="str">
        <f>Controles!J118</f>
        <v>Não aderente</v>
      </c>
      <c r="J13" s="78">
        <f>COUNTIF(I12:I13,"N/A")/COUNTA(I12:I13)</f>
        <v>0</v>
      </c>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row>
    <row r="14" spans="2:44" x14ac:dyDescent="0.25">
      <c r="B14" s="81" t="s">
        <v>400</v>
      </c>
      <c r="C14" s="1" t="str">
        <f>Controles!J31</f>
        <v>Não aderente</v>
      </c>
      <c r="D14" s="77"/>
      <c r="G14" s="78">
        <f>COUNTIF(F13:F13,"N/A")/COUNTA(F13:F13)</f>
        <v>0</v>
      </c>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row>
    <row r="15" spans="2:44" ht="30" x14ac:dyDescent="0.25">
      <c r="B15" s="81" t="s">
        <v>401</v>
      </c>
      <c r="C15" s="1" t="str">
        <f>Controles!J32</f>
        <v>Não aderente</v>
      </c>
      <c r="D15" s="77"/>
      <c r="E15" s="148" t="s">
        <v>13</v>
      </c>
      <c r="F15" s="148"/>
      <c r="G15" s="78">
        <f>COUNTIF(F17:F18,"Aderente")/COUNTA(F17:F18)</f>
        <v>0</v>
      </c>
      <c r="H15" s="148" t="s">
        <v>402</v>
      </c>
      <c r="I15" s="148"/>
      <c r="J15" s="78">
        <f>COUNTIF(I17:I18,"Aderente")/COUNTA(I17:I18)</f>
        <v>0</v>
      </c>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row>
    <row r="16" spans="2:44" ht="30" x14ac:dyDescent="0.25">
      <c r="B16" s="81" t="s">
        <v>403</v>
      </c>
      <c r="C16" s="1" t="str">
        <f>Controles!J33</f>
        <v>Não aderente</v>
      </c>
      <c r="D16" s="77"/>
      <c r="E16" s="79" t="s">
        <v>385</v>
      </c>
      <c r="F16" s="79" t="s">
        <v>386</v>
      </c>
      <c r="G16" s="78">
        <f>COUNTIF(F17:F18,"Não Aderente")/COUNTA(F17:F18)</f>
        <v>1</v>
      </c>
      <c r="H16" s="79" t="s">
        <v>385</v>
      </c>
      <c r="I16" s="79" t="s">
        <v>386</v>
      </c>
      <c r="J16" s="78">
        <f>COUNTIF(I17:I18,"Não Aderente")/COUNTA(I17:I18)</f>
        <v>0</v>
      </c>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row>
    <row r="17" spans="2:44" ht="36" customHeight="1" x14ac:dyDescent="0.25">
      <c r="E17" s="82" t="s">
        <v>404</v>
      </c>
      <c r="F17" s="1" t="str">
        <f>Controles!J22</f>
        <v>Não aderente</v>
      </c>
      <c r="G17" s="78">
        <f>COUNTIF(F17:F18,"Parcialmente Aderente")/COUNTA(F17:F18)</f>
        <v>0</v>
      </c>
      <c r="H17" s="1" t="s">
        <v>405</v>
      </c>
      <c r="I17" s="1">
        <f>Controles!J71</f>
        <v>0</v>
      </c>
      <c r="J17" s="78">
        <f>COUNTIF(I17:I18,"Parcialmente Aderentemente Aderente")/COUNTA(I17:I18)</f>
        <v>0</v>
      </c>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row>
    <row r="18" spans="2:44" ht="16.5" customHeight="1" x14ac:dyDescent="0.25">
      <c r="B18" s="148" t="s">
        <v>328</v>
      </c>
      <c r="C18" s="148"/>
      <c r="D18" s="80">
        <v>0</v>
      </c>
      <c r="E18" s="1" t="s">
        <v>390</v>
      </c>
      <c r="F18" s="1" t="str">
        <f>Controles!J23</f>
        <v>Não aderente</v>
      </c>
      <c r="G18" s="78">
        <f>COUNTIF(F17:F18,"N/A")/COUNTA(F17:F18)</f>
        <v>0</v>
      </c>
      <c r="H18" s="81" t="s">
        <v>406</v>
      </c>
      <c r="I18" s="1">
        <f>Controles!J77</f>
        <v>0</v>
      </c>
      <c r="J18" s="78">
        <f>COUNTIF(I17:I18,"N/A")/COUNTA(I17:I18)</f>
        <v>0</v>
      </c>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row>
    <row r="19" spans="2:44" ht="14.25" customHeight="1" x14ac:dyDescent="0.25">
      <c r="B19" s="79" t="s">
        <v>385</v>
      </c>
      <c r="C19" s="79" t="s">
        <v>386</v>
      </c>
      <c r="D19" s="80">
        <v>0.6</v>
      </c>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row>
    <row r="20" spans="2:44" ht="30" x14ac:dyDescent="0.25">
      <c r="B20" s="81" t="s">
        <v>407</v>
      </c>
      <c r="C20" s="1" t="str">
        <f>Controles!J98</f>
        <v>Aderente</v>
      </c>
      <c r="D20" s="80">
        <v>0.4</v>
      </c>
      <c r="E20" s="148" t="s">
        <v>78</v>
      </c>
      <c r="F20" s="148"/>
      <c r="G20" s="78">
        <f>COUNTIF(F22:F22,"Aderente")/COUNTA(F22:F22)</f>
        <v>0</v>
      </c>
      <c r="H20" s="148" t="s">
        <v>408</v>
      </c>
      <c r="I20" s="148"/>
      <c r="J20" s="77">
        <f>COUNTIF(I22:I22,"Aderente")/COUNTA(I22:I22)</f>
        <v>0</v>
      </c>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row>
    <row r="21" spans="2:44" ht="30" x14ac:dyDescent="0.25">
      <c r="B21" s="82" t="s">
        <v>409</v>
      </c>
      <c r="C21" s="1" t="str">
        <f>Controles!J101</f>
        <v>Parcialmente aderente</v>
      </c>
      <c r="D21" s="80">
        <v>0</v>
      </c>
      <c r="E21" s="79" t="s">
        <v>385</v>
      </c>
      <c r="F21" s="79" t="s">
        <v>386</v>
      </c>
      <c r="G21" s="77">
        <f>COUNTIF(F22:F22,"Não Aderente")/COUNTA(F22:F22)</f>
        <v>1</v>
      </c>
      <c r="H21" s="79" t="s">
        <v>385</v>
      </c>
      <c r="I21" s="79" t="s">
        <v>386</v>
      </c>
      <c r="J21" s="77">
        <f>COUNTIF(I22:I22,"Não Aderente")/COUNTA(I22:I22)</f>
        <v>1</v>
      </c>
    </row>
    <row r="22" spans="2:44" ht="45" x14ac:dyDescent="0.25">
      <c r="B22" s="82" t="s">
        <v>410</v>
      </c>
      <c r="C22" s="1" t="str">
        <f>Controles!J103</f>
        <v>Não aderente</v>
      </c>
      <c r="E22" s="81" t="s">
        <v>411</v>
      </c>
      <c r="F22" s="1" t="str">
        <f>Controles!J82</f>
        <v>Não aderente</v>
      </c>
      <c r="G22" s="77">
        <f>COUNTIF(F22:F22,"Parcialmente Aderente")/COUNTA(F22:F22)</f>
        <v>0</v>
      </c>
      <c r="H22" s="81" t="s">
        <v>412</v>
      </c>
      <c r="I22" s="1" t="str">
        <f>Controles!J81</f>
        <v>Não aderente</v>
      </c>
      <c r="J22" s="77">
        <f>COUNTIF(I22:I22,"Parcialmente Aderentemente Aderente")/COUNTA(I22:I22)</f>
        <v>0</v>
      </c>
    </row>
    <row r="23" spans="2:44" x14ac:dyDescent="0.25">
      <c r="B23" s="81" t="s">
        <v>413</v>
      </c>
      <c r="C23" s="1" t="str">
        <f>Controles!J105</f>
        <v>Não aderente</v>
      </c>
      <c r="E23" s="81"/>
      <c r="G23" s="77">
        <f>COUNTIF(F22:F22,"N/A")/COUNTA(F22:F22)</f>
        <v>0</v>
      </c>
      <c r="J23" s="77">
        <f>COUNTIF(I22:I22,"N/A")/COUNTA(I22:I22)</f>
        <v>0</v>
      </c>
    </row>
    <row r="24" spans="2:44" ht="29.25" customHeight="1" x14ac:dyDescent="0.25">
      <c r="B24" s="81" t="s">
        <v>414</v>
      </c>
      <c r="C24" s="1" t="str">
        <f>Controles!J106</f>
        <v>Não aderente</v>
      </c>
      <c r="E24" s="149" t="s">
        <v>415</v>
      </c>
      <c r="F24" s="149"/>
      <c r="G24" s="78">
        <f>COUNTIF(F26:F28,"Aderente")/COUNTA(F26:F28)</f>
        <v>0</v>
      </c>
      <c r="H24" s="149" t="s">
        <v>416</v>
      </c>
      <c r="I24" s="149"/>
      <c r="J24" s="77">
        <f>COUNTIF(I26:I26,"Aderente")/COUNTA(I26:I26)</f>
        <v>0</v>
      </c>
    </row>
    <row r="25" spans="2:44" ht="15.75" customHeight="1" x14ac:dyDescent="0.25">
      <c r="D25" s="77"/>
      <c r="E25" s="79" t="s">
        <v>385</v>
      </c>
      <c r="F25" s="79" t="s">
        <v>386</v>
      </c>
      <c r="G25" s="78">
        <f>COUNTIF(F26:F28,"Não Aderente")/COUNTA(F26:F28)</f>
        <v>0.33333333333333331</v>
      </c>
      <c r="H25" s="79" t="s">
        <v>385</v>
      </c>
      <c r="I25" s="79" t="s">
        <v>386</v>
      </c>
      <c r="J25" s="77">
        <f>COUNTIF(I26:I26,"Não Aderente")/COUNTA(I26:I26)</f>
        <v>0</v>
      </c>
    </row>
    <row r="26" spans="2:44" ht="17.25" customHeight="1" x14ac:dyDescent="0.25">
      <c r="B26" s="148" t="s">
        <v>417</v>
      </c>
      <c r="C26" s="148"/>
      <c r="D26" s="77">
        <v>0</v>
      </c>
      <c r="E26" s="1" t="s">
        <v>418</v>
      </c>
      <c r="F26" s="1" t="str">
        <f>Controles!J34</f>
        <v>Parcialmente aderente</v>
      </c>
      <c r="G26" s="78">
        <f>COUNTIF(F26:F28,"Parcialmente Aderente")/COUNTA(F26:F28)</f>
        <v>0.33333333333333331</v>
      </c>
      <c r="H26" s="1" t="s">
        <v>419</v>
      </c>
      <c r="I26" s="1" t="str">
        <f>Controles!J43</f>
        <v>N/A</v>
      </c>
      <c r="J26" s="77">
        <f>COUNTIF(I26:I26,"Parcialmente Aderentemente Aderente")/COUNTA(I26:I26)</f>
        <v>0</v>
      </c>
    </row>
    <row r="27" spans="2:44" ht="14.25" customHeight="1" x14ac:dyDescent="0.25">
      <c r="B27" s="79" t="s">
        <v>385</v>
      </c>
      <c r="C27" s="79" t="s">
        <v>386</v>
      </c>
      <c r="D27" s="77">
        <v>1</v>
      </c>
      <c r="E27" s="1" t="s">
        <v>420</v>
      </c>
      <c r="F27" s="1">
        <f>Controles!J36</f>
        <v>0</v>
      </c>
      <c r="G27" s="77">
        <f>COUNTIF(F26:F28,"N/A")/COUNTA(F26:F28)</f>
        <v>0</v>
      </c>
      <c r="J27" s="77">
        <f>COUNTIF(I26:I26,"N/A")/COUNTA(I26:I26)</f>
        <v>1</v>
      </c>
    </row>
    <row r="28" spans="2:44" ht="15.95" customHeight="1" x14ac:dyDescent="0.25">
      <c r="B28" s="81" t="s">
        <v>421</v>
      </c>
      <c r="C28" s="82" t="str">
        <f>Controles!J40</f>
        <v>Parcialmente aderente</v>
      </c>
      <c r="D28" s="77">
        <v>0</v>
      </c>
      <c r="E28" s="81" t="s">
        <v>422</v>
      </c>
      <c r="F28" s="1" t="str">
        <f>Controles!J39</f>
        <v>Não aderente</v>
      </c>
      <c r="G28" s="77"/>
      <c r="H28" s="149" t="s">
        <v>423</v>
      </c>
      <c r="I28" s="149"/>
      <c r="J28" s="77">
        <f>COUNTIF(I30:I30,"Aderente")/COUNTA(I30:I30)</f>
        <v>0</v>
      </c>
    </row>
    <row r="29" spans="2:44" ht="14.25" customHeight="1" x14ac:dyDescent="0.25">
      <c r="D29" s="77">
        <v>0</v>
      </c>
      <c r="H29" s="79" t="s">
        <v>385</v>
      </c>
      <c r="I29" s="79" t="s">
        <v>386</v>
      </c>
      <c r="J29" s="77">
        <f>COUNTIF(I30:I30,"Não Aderente")/COUNTA(I30:I30)</f>
        <v>0</v>
      </c>
    </row>
    <row r="30" spans="2:44" ht="15" customHeight="1" x14ac:dyDescent="0.25">
      <c r="E30" s="148" t="s">
        <v>424</v>
      </c>
      <c r="F30" s="148"/>
      <c r="G30" s="77">
        <f>COUNTIF(F32:F32,"Aderente")/COUNTA(F32:F32)</f>
        <v>0</v>
      </c>
      <c r="H30" s="1" t="s">
        <v>425</v>
      </c>
      <c r="I30" s="1" t="str">
        <f>Controles!J44</f>
        <v>N/A</v>
      </c>
      <c r="J30" s="77">
        <f>COUNTIF(I30:I30,"Parcialmente Aderentemente Aderente")/COUNTA(I30:I30)</f>
        <v>0</v>
      </c>
    </row>
    <row r="31" spans="2:44" x14ac:dyDescent="0.25">
      <c r="B31" s="149" t="s">
        <v>426</v>
      </c>
      <c r="C31" s="149"/>
      <c r="D31" s="77"/>
      <c r="E31" s="79" t="s">
        <v>385</v>
      </c>
      <c r="F31" s="79" t="s">
        <v>386</v>
      </c>
      <c r="G31" s="77">
        <f>COUNTIF(F32:F32,"Não Aderente")/COUNTA(F32:F32)</f>
        <v>1</v>
      </c>
      <c r="J31" s="77">
        <f>COUNTIF(I30:I30,"N/A")/COUNTA(I30:I30)</f>
        <v>1</v>
      </c>
    </row>
    <row r="32" spans="2:44" ht="15" customHeight="1" x14ac:dyDescent="0.25">
      <c r="B32" s="79" t="s">
        <v>385</v>
      </c>
      <c r="C32" s="79" t="s">
        <v>386</v>
      </c>
      <c r="D32" s="77">
        <v>0</v>
      </c>
      <c r="E32" s="1" t="s">
        <v>427</v>
      </c>
      <c r="F32" s="1" t="str">
        <f>Controles!J45</f>
        <v>Não aderente</v>
      </c>
      <c r="G32" s="77">
        <f>COUNTIF(F32:F32,"Parcialmente Aderente")/COUNTA(F32:F32)</f>
        <v>0</v>
      </c>
      <c r="H32" s="149" t="s">
        <v>428</v>
      </c>
      <c r="I32" s="149"/>
      <c r="J32" s="77"/>
    </row>
    <row r="33" spans="2:10" ht="15" customHeight="1" x14ac:dyDescent="0.25">
      <c r="B33" s="1" t="s">
        <v>429</v>
      </c>
      <c r="C33" s="1" t="str">
        <f>Controles!J48</f>
        <v>Parcialmente aderente</v>
      </c>
      <c r="D33" s="77">
        <v>0</v>
      </c>
      <c r="G33" s="77">
        <f>COUNTIF(F32:F32,"N/A")/COUNTA(F32:F32)</f>
        <v>0</v>
      </c>
      <c r="H33" s="79" t="s">
        <v>385</v>
      </c>
      <c r="I33" s="79" t="s">
        <v>386</v>
      </c>
      <c r="J33" s="77">
        <f>COUNTIF(I34:I41,"Aderente")/COUNTA(I34:I41)</f>
        <v>0</v>
      </c>
    </row>
    <row r="34" spans="2:10" ht="15.75" customHeight="1" x14ac:dyDescent="0.25">
      <c r="D34" s="77">
        <v>1</v>
      </c>
      <c r="E34" s="148" t="s">
        <v>430</v>
      </c>
      <c r="F34" s="148"/>
      <c r="G34" s="77">
        <f>COUNTIF(F36:F36,"Aderente")/COUNTA(F36:F36)</f>
        <v>0</v>
      </c>
      <c r="H34" s="1" t="s">
        <v>431</v>
      </c>
      <c r="I34" s="1" t="str">
        <f>Controles!J119</f>
        <v>N/A</v>
      </c>
      <c r="J34" s="77">
        <f>COUNTIF(I34:I41,"Não Aderente")/COUNTA(I34:I41)</f>
        <v>0</v>
      </c>
    </row>
    <row r="35" spans="2:10" x14ac:dyDescent="0.25">
      <c r="B35" s="148" t="s">
        <v>432</v>
      </c>
      <c r="C35" s="148"/>
      <c r="D35" s="77">
        <v>0</v>
      </c>
      <c r="E35" s="79" t="s">
        <v>385</v>
      </c>
      <c r="F35" s="79" t="s">
        <v>386</v>
      </c>
      <c r="G35" s="77">
        <f>COUNTIF(F36:F36,"Não Aderente")/COUNTA(F36:F36)</f>
        <v>0</v>
      </c>
      <c r="H35" s="1" t="s">
        <v>433</v>
      </c>
      <c r="I35" s="1" t="str">
        <f>Controles!J120</f>
        <v>N/A</v>
      </c>
      <c r="J35" s="77">
        <f>COUNTIF(I34:I41,"Parcialmente Aderentemente Aderente")/COUNTA(I34:I41)</f>
        <v>0</v>
      </c>
    </row>
    <row r="36" spans="2:10" ht="15" customHeight="1" x14ac:dyDescent="0.25">
      <c r="B36" s="79" t="s">
        <v>385</v>
      </c>
      <c r="C36" s="79" t="s">
        <v>386</v>
      </c>
      <c r="D36" s="77">
        <v>0</v>
      </c>
      <c r="E36" s="81" t="s">
        <v>434</v>
      </c>
      <c r="F36" s="1">
        <f>Controles!J52</f>
        <v>0</v>
      </c>
      <c r="G36" s="77">
        <f>COUNTIF(F36:F36,"Parcialmente Aderente")/COUNTA(F36:F36)</f>
        <v>0</v>
      </c>
      <c r="H36" s="81" t="s">
        <v>435</v>
      </c>
      <c r="I36" s="1" t="str">
        <f>Controles!J121</f>
        <v>N/A</v>
      </c>
      <c r="J36" s="77">
        <f>COUNTIF(I34:I41,"N/A")/COUNTA(I34:I41)</f>
        <v>1</v>
      </c>
    </row>
    <row r="37" spans="2:10" ht="15.75" customHeight="1" x14ac:dyDescent="0.25">
      <c r="B37" s="1" t="s">
        <v>436</v>
      </c>
      <c r="C37" s="1" t="str">
        <f>Controles!J62</f>
        <v>N/A</v>
      </c>
      <c r="D37" s="77">
        <v>0</v>
      </c>
      <c r="G37" s="77">
        <f>COUNTIF(F36:F36,"N/A")/COUNTA(F36:F36)</f>
        <v>0</v>
      </c>
      <c r="H37" s="81" t="s">
        <v>437</v>
      </c>
      <c r="I37" s="1" t="str">
        <f>Controles!J122</f>
        <v>N/A</v>
      </c>
      <c r="J37" s="77"/>
    </row>
    <row r="38" spans="2:10" ht="14.25" customHeight="1" x14ac:dyDescent="0.25">
      <c r="D38" s="77">
        <v>1</v>
      </c>
      <c r="E38" s="148" t="s">
        <v>438</v>
      </c>
      <c r="F38" s="148"/>
      <c r="G38" s="77">
        <f>COUNTIF(F40:F40,"Aderente")/COUNTA(F40:F40)</f>
        <v>0</v>
      </c>
      <c r="H38" s="81" t="s">
        <v>439</v>
      </c>
      <c r="I38" s="1" t="str">
        <f>Controles!J123</f>
        <v>N/A</v>
      </c>
      <c r="J38" s="77"/>
    </row>
    <row r="39" spans="2:10" ht="15.75" customHeight="1" x14ac:dyDescent="0.25">
      <c r="B39" s="148" t="s">
        <v>440</v>
      </c>
      <c r="C39" s="148"/>
      <c r="D39" s="77">
        <v>0</v>
      </c>
      <c r="E39" s="79" t="s">
        <v>385</v>
      </c>
      <c r="F39" s="79" t="s">
        <v>386</v>
      </c>
      <c r="G39" s="77">
        <f>COUNTIF(F40:F40,"Não Aderente")/COUNTA(F40:F40)</f>
        <v>1</v>
      </c>
      <c r="H39" s="81" t="s">
        <v>441</v>
      </c>
      <c r="I39" s="1" t="str">
        <f>Controles!J124</f>
        <v>N/A</v>
      </c>
      <c r="J39" s="77"/>
    </row>
    <row r="40" spans="2:10" ht="13.5" customHeight="1" x14ac:dyDescent="0.25">
      <c r="B40" s="79" t="s">
        <v>385</v>
      </c>
      <c r="C40" s="79" t="s">
        <v>386</v>
      </c>
      <c r="D40" s="77">
        <v>1</v>
      </c>
      <c r="E40" s="81" t="s">
        <v>442</v>
      </c>
      <c r="F40" s="1" t="str">
        <f>Controles!J60</f>
        <v>Não aderente</v>
      </c>
      <c r="G40" s="77">
        <f>COUNTIF(F40:F40,"Parcialmente Aderente")/COUNTA(F40:F40)</f>
        <v>0</v>
      </c>
      <c r="H40" s="81" t="s">
        <v>443</v>
      </c>
      <c r="I40" s="1" t="str">
        <f>Controles!J125</f>
        <v>N/A</v>
      </c>
      <c r="J40" s="77"/>
    </row>
    <row r="41" spans="2:10" ht="15.75" customHeight="1" x14ac:dyDescent="0.25">
      <c r="B41" s="1" t="s">
        <v>444</v>
      </c>
      <c r="C41" s="1" t="str">
        <f>Controles!J50</f>
        <v>N/A</v>
      </c>
      <c r="D41" s="77">
        <v>0</v>
      </c>
      <c r="E41" s="81"/>
      <c r="G41" s="77">
        <f>COUNTIF(F40:F40,"N/A")/COUNTA(F40:F40)</f>
        <v>0</v>
      </c>
      <c r="H41" s="81"/>
      <c r="J41" s="77"/>
    </row>
    <row r="42" spans="2:10" ht="14.25" customHeight="1" x14ac:dyDescent="0.25">
      <c r="D42" s="77">
        <v>0</v>
      </c>
      <c r="E42" s="148" t="s">
        <v>445</v>
      </c>
      <c r="F42" s="148"/>
      <c r="G42" s="78">
        <f>COUNTIF(F44:F44,"Aderente")/COUNTA(F44:F44)</f>
        <v>0</v>
      </c>
      <c r="J42" s="77"/>
    </row>
    <row r="43" spans="2:10" ht="15" customHeight="1" x14ac:dyDescent="0.25">
      <c r="B43" s="148" t="s">
        <v>446</v>
      </c>
      <c r="C43" s="148"/>
      <c r="D43" s="78">
        <v>0</v>
      </c>
      <c r="E43" s="79" t="s">
        <v>385</v>
      </c>
      <c r="F43" s="79" t="s">
        <v>386</v>
      </c>
      <c r="G43" s="78">
        <f>COUNTIF(F44:F44,"Não Aderente")/COUNTA(F44:F44)</f>
        <v>0</v>
      </c>
    </row>
    <row r="44" spans="2:10" ht="15" customHeight="1" x14ac:dyDescent="0.25">
      <c r="B44" s="79" t="s">
        <v>385</v>
      </c>
      <c r="C44" s="79" t="s">
        <v>386</v>
      </c>
      <c r="D44" s="78">
        <v>0.66666666666666663</v>
      </c>
      <c r="E44" s="81" t="s">
        <v>447</v>
      </c>
      <c r="F44" s="1" t="str">
        <f>Controles!J65</f>
        <v>N/A</v>
      </c>
      <c r="G44" s="78">
        <f>COUNTIF(F44:F44,"Parcialmente Aderente")/COUNTA(F44:F44)</f>
        <v>0</v>
      </c>
    </row>
    <row r="45" spans="2:10" ht="30" x14ac:dyDescent="0.25">
      <c r="B45" s="81" t="s">
        <v>448</v>
      </c>
      <c r="C45" s="1" t="str">
        <f>Controles!J67</f>
        <v>N/A</v>
      </c>
      <c r="D45" s="78">
        <v>0</v>
      </c>
      <c r="G45" s="77">
        <f>COUNTIF(F44:F44,"N/A")/COUNTA(F44:F44)</f>
        <v>1</v>
      </c>
      <c r="J45" s="77"/>
    </row>
    <row r="46" spans="2:10" x14ac:dyDescent="0.25">
      <c r="B46" s="1" t="s">
        <v>449</v>
      </c>
      <c r="C46" s="1" t="str">
        <f>Controles!J68</f>
        <v>N/A</v>
      </c>
      <c r="D46" s="77">
        <v>0.33333333333333331</v>
      </c>
      <c r="G46" s="77"/>
      <c r="H46" s="77"/>
      <c r="J46" s="77"/>
    </row>
    <row r="47" spans="2:10" ht="15.75" customHeight="1" x14ac:dyDescent="0.25">
      <c r="B47" s="81" t="s">
        <v>450</v>
      </c>
      <c r="C47" s="1" t="str">
        <f>Controles!J69</f>
        <v>N/A</v>
      </c>
      <c r="D47" s="77"/>
      <c r="G47" s="77" t="s">
        <v>451</v>
      </c>
      <c r="H47" s="77" t="s">
        <v>452</v>
      </c>
      <c r="J47" s="77"/>
    </row>
    <row r="48" spans="2:10" ht="13.5" customHeight="1" x14ac:dyDescent="0.25">
      <c r="J48" s="77"/>
    </row>
    <row r="49" spans="2:10" ht="15" customHeight="1" x14ac:dyDescent="0.25">
      <c r="J49" s="77"/>
    </row>
    <row r="50" spans="2:10" ht="15.75" customHeight="1" x14ac:dyDescent="0.25">
      <c r="B50" s="83" t="s">
        <v>453</v>
      </c>
      <c r="E50" s="84"/>
      <c r="J50" s="77"/>
    </row>
    <row r="51" spans="2:10" ht="14.25" customHeight="1" x14ac:dyDescent="0.25">
      <c r="B51" s="85">
        <f>(COUNTIFS($C$7:$C$47,$C51)+COUNTIFS($F$7:$F$47,$C51)+COUNTIFS($I$7:$I$47,$C51))*100/50</f>
        <v>2</v>
      </c>
      <c r="C51" s="86" t="s">
        <v>384</v>
      </c>
      <c r="E51" s="84"/>
      <c r="J51" s="77"/>
    </row>
    <row r="52" spans="2:10" ht="15.75" customHeight="1" x14ac:dyDescent="0.25">
      <c r="B52" s="87">
        <f>(COUNTIFS($C$7:$C$47,$C52)+COUNTIFS($F$7:$F$47,$C52)+COUNTIFS($I$7:$I$47,$C52))*100/50</f>
        <v>50</v>
      </c>
      <c r="C52" s="86" t="s">
        <v>454</v>
      </c>
      <c r="E52" s="84"/>
      <c r="J52" s="77"/>
    </row>
    <row r="53" spans="2:10" x14ac:dyDescent="0.25">
      <c r="B53" s="87">
        <f>(COUNTIFS($C$7:$C$47,$C53)+COUNTIFS($F$7:$F$47,$C53)+COUNTIFS($I$7:$I$47,$C53))*100/50</f>
        <v>8</v>
      </c>
      <c r="C53" s="86" t="s">
        <v>455</v>
      </c>
      <c r="E53" s="1" t="s">
        <v>206</v>
      </c>
      <c r="F53" s="88">
        <f>COUNTIFS(Controles!I7:I125,E53)</f>
        <v>35</v>
      </c>
      <c r="J53" s="77"/>
    </row>
    <row r="54" spans="2:10" ht="16.5" customHeight="1" x14ac:dyDescent="0.25">
      <c r="B54" s="87">
        <f>(COUNTIFS($C$7:$C$47,$C54)+COUNTIFS($F$7:$F$47,$C54)+COUNTIFS($I$7:$I$47,$C54))*100/50</f>
        <v>30</v>
      </c>
      <c r="C54" s="86" t="s">
        <v>141</v>
      </c>
      <c r="E54" s="1" t="s">
        <v>101</v>
      </c>
      <c r="F54" s="88">
        <f>COUNTIFS(Controles!I8:I126,E54)</f>
        <v>25</v>
      </c>
      <c r="J54" s="77"/>
    </row>
    <row r="55" spans="2:10" ht="15.75" customHeight="1" x14ac:dyDescent="0.25">
      <c r="D55" s="77"/>
      <c r="E55" s="1" t="s">
        <v>129</v>
      </c>
      <c r="F55" s="88">
        <f>COUNTIFS(Controles!I9:I127,E55)</f>
        <v>52</v>
      </c>
    </row>
    <row r="56" spans="2:10" ht="14.25" customHeight="1" x14ac:dyDescent="0.25">
      <c r="B56" s="148" t="s">
        <v>92</v>
      </c>
      <c r="C56" s="148"/>
      <c r="D56" s="77"/>
      <c r="E56" s="1" t="s">
        <v>141</v>
      </c>
      <c r="F56" s="88">
        <f>COUNTIFS(Controles!I10:I128,E56)</f>
        <v>0</v>
      </c>
    </row>
    <row r="57" spans="2:10" ht="15.75" customHeight="1" x14ac:dyDescent="0.25">
      <c r="B57" s="79" t="s">
        <v>451</v>
      </c>
      <c r="C57" s="79" t="s">
        <v>452</v>
      </c>
      <c r="D57" s="79"/>
      <c r="E57" s="79"/>
      <c r="F57" s="79"/>
    </row>
    <row r="58" spans="2:10" ht="15.75" customHeight="1" x14ac:dyDescent="0.25">
      <c r="B58" s="1" t="s">
        <v>134</v>
      </c>
      <c r="C58" s="89">
        <f>COUNTIF(Controles!I7:I23,"Finalizado")/2*100+COUNTIF(Controles!I7:I23,"Em andamento")/2*50-COUNTIF(Controles!I7:I23,"Não inciado")/2*100</f>
        <v>325</v>
      </c>
      <c r="D58" s="90"/>
    </row>
    <row r="59" spans="2:10" ht="16.5" customHeight="1" x14ac:dyDescent="0.25">
      <c r="B59" s="1" t="s">
        <v>158</v>
      </c>
      <c r="C59" s="89">
        <f>COUNTIF(Controles!I28:I33,"Finalizado")/6*100+COUNTIF(Controles!I28:I33,"Em andamento")/6*50-COUNTIF(Controles!I28:I33,"Não inciado")/6*100</f>
        <v>0</v>
      </c>
    </row>
    <row r="60" spans="2:10" ht="15" customHeight="1" x14ac:dyDescent="0.25">
      <c r="B60" s="1" t="s">
        <v>145</v>
      </c>
      <c r="C60" s="89">
        <f>(COUNTIF(Controles!I25:I26,"Finalizado")/3*100+COUNTIF(Controles!I25:I26,"Em andamento")/3*50-COUNTIF(Controles!I25:I26,"Não inciado")/3*100)+(COUNTIF(Controles!I27,"Finalizado")/3*100+COUNTIF(Controles!I27,"Em andamento")/3*50-COUNTIF(Controles!I27,"Não inciado")/3*100)</f>
        <v>0</v>
      </c>
    </row>
    <row r="61" spans="2:10" ht="42" customHeight="1" x14ac:dyDescent="0.25">
      <c r="B61" s="81" t="s">
        <v>179</v>
      </c>
      <c r="C61" s="89">
        <f>COUNTIF(Controles!I34:I39,"Finalizado")/3*100+COUNTIF(Controles!I34:I39,"Em andamento")/3*50-COUNTIF(Controles!I34:I39,"Não inciado")/3*100</f>
        <v>50</v>
      </c>
    </row>
    <row r="62" spans="2:10" ht="35.25" customHeight="1" x14ac:dyDescent="0.25">
      <c r="B62" s="81" t="s">
        <v>198</v>
      </c>
      <c r="C62" s="89">
        <f>COUNTIF(Controles!I41:I41,"Finalizado")/2*100+COUNTIF(Controles!I41:I41,"Em andamento")/2*50-COUNTIF(Controles!I41:I41,"Não inciado")/2*100</f>
        <v>0</v>
      </c>
    </row>
    <row r="63" spans="2:10" ht="30" x14ac:dyDescent="0.25">
      <c r="B63" s="81" t="s">
        <v>217</v>
      </c>
      <c r="C63" s="89">
        <f>COUNTIF(Controles!I42:I42,"Finalizado")/2*100+COUNTIF(Controles!I42:I42,"Em andamento")/2*50-COUNTIF(Controles!I42:I42,"Não inciado")/2*100</f>
        <v>50</v>
      </c>
    </row>
    <row r="64" spans="2:10" ht="30" customHeight="1" x14ac:dyDescent="0.25">
      <c r="B64" s="81" t="s">
        <v>456</v>
      </c>
      <c r="C64" s="89">
        <f>COUNTIF(Controles!I42,"Finalizado")*100+COUNTIF(Controles!I42,"Em andamento")*50-COUNTIF(Controles!I42,"Não inciado")*100</f>
        <v>100</v>
      </c>
    </row>
    <row r="65" spans="2:3" ht="30.75" customHeight="1" x14ac:dyDescent="0.25">
      <c r="B65" s="81" t="s">
        <v>457</v>
      </c>
      <c r="C65" s="89">
        <f>COUNTIF(Controles!I44,"Finalizado")*100+COUNTIF(Controles!I44,"Em andamento")*50-COUNTIF(Controles!I44,"Não inciado")*100</f>
        <v>100</v>
      </c>
    </row>
    <row r="66" spans="2:3" ht="30" x14ac:dyDescent="0.25">
      <c r="B66" s="81" t="s">
        <v>212</v>
      </c>
      <c r="C66" s="89">
        <f>COUNTIF(Controles!I45,"Finalizado")*100+COUNTIF(Controles!I45,"Em andamento")*50-COUNTIF(Controles!I45,"Não inciado")*100</f>
        <v>0</v>
      </c>
    </row>
    <row r="67" spans="2:3" ht="30" x14ac:dyDescent="0.25">
      <c r="B67" s="81" t="s">
        <v>223</v>
      </c>
      <c r="C67" s="89">
        <f>COUNTIF(Controles!I48:I49,"Finalizado")*100+COUNTIF(Controles!I48:I49,"Em andamento")*50-COUNTIF(Controles!I48:I49,"Não inciado")*100</f>
        <v>100</v>
      </c>
    </row>
    <row r="68" spans="2:3" ht="30" x14ac:dyDescent="0.25">
      <c r="B68" s="81" t="s">
        <v>458</v>
      </c>
      <c r="C68" s="89">
        <f>COUNTIF(Controles!I50,"Finalizado")*100+COUNTIF(Controles!I50,"Em andamento")*50-COUNTIF(Controles!I50,"Não inciado")*100</f>
        <v>100</v>
      </c>
    </row>
    <row r="69" spans="2:3" ht="30" x14ac:dyDescent="0.25">
      <c r="B69" s="81" t="s">
        <v>246</v>
      </c>
      <c r="C69" s="89">
        <f>COUNTIF(Controles!I60,"Finalizado")*100+COUNTIF(Controles!I60,"Em andamento")*50-COUNTIF(Controles!I60,"Não inciado")*100</f>
        <v>0</v>
      </c>
    </row>
    <row r="70" spans="2:3" ht="30" x14ac:dyDescent="0.25">
      <c r="B70" s="81" t="s">
        <v>459</v>
      </c>
      <c r="C70" s="89">
        <f>COUNTIF(Controles!I62,"Finalizado")*100+COUNTIF(Controles!I62,"Em andamento")*50-COUNTIF(Controles!I62,"Não inciado")*100</f>
        <v>100</v>
      </c>
    </row>
    <row r="71" spans="2:3" ht="30" x14ac:dyDescent="0.25">
      <c r="B71" s="81" t="s">
        <v>256</v>
      </c>
      <c r="C71" s="89">
        <f>COUNTIF(Controles!I65,"Finalizado")*100+COUNTIF(Controles!I65,"Em andamento")*50-COUNTIF(Controles!I65,"Não inciado")*100</f>
        <v>100</v>
      </c>
    </row>
    <row r="72" spans="2:3" ht="15.75" customHeight="1" x14ac:dyDescent="0.25">
      <c r="B72" s="81" t="s">
        <v>460</v>
      </c>
      <c r="C72" s="89">
        <f>COUNTIF(Controles!I52,"Finalizado")*100+COUNTIF(Controles!I52,"Em andamento")*50-COUNTIF(Controles!I52,"Não inciado")*100</f>
        <v>0</v>
      </c>
    </row>
    <row r="73" spans="2:3" ht="17.25" customHeight="1" x14ac:dyDescent="0.25">
      <c r="B73" s="81" t="s">
        <v>461</v>
      </c>
      <c r="C73" s="89">
        <f>COUNTIF(Controles!I67:I69,"Finalizado")/3*100+COUNTIF(Controles!I67:I69,"Em andamento")/3*50-COUNTIF(Controles!I67:I69,"Não inciado")/3*100</f>
        <v>100</v>
      </c>
    </row>
    <row r="74" spans="2:3" x14ac:dyDescent="0.25">
      <c r="B74" s="1" t="s">
        <v>275</v>
      </c>
      <c r="C74" s="89">
        <f>COUNTIF(Controles!I71:I77,"Finalizado")/2*100+COUNTIF(Controles!I71:I77,"Em andamento")/2*50-COUNTIF(Controles!I71:I77,"Não inciado")/2*100</f>
        <v>0</v>
      </c>
    </row>
    <row r="75" spans="2:3" x14ac:dyDescent="0.25">
      <c r="B75" s="1" t="s">
        <v>78</v>
      </c>
      <c r="C75" s="89">
        <f>COUNTIF(Controles!I82,"Finalizado")*100+COUNTIF(Controles!I82,"Em andamento")*50-COUNTIF(Controles!I82,"Não inciado")*100</f>
        <v>50</v>
      </c>
    </row>
    <row r="76" spans="2:3" x14ac:dyDescent="0.25">
      <c r="B76" s="1" t="s">
        <v>312</v>
      </c>
      <c r="C76" s="89">
        <f>COUNTIF(Controles!I93,"Finalizado")*100+COUNTIF(Controles!I93,"Em andamento")*50-COUNTIF(Controles!I93,"Não inciado")*100</f>
        <v>0</v>
      </c>
    </row>
    <row r="77" spans="2:3" x14ac:dyDescent="0.25">
      <c r="B77" s="1" t="s">
        <v>318</v>
      </c>
      <c r="C77" s="89">
        <f>COUNTIF(Controles!I95:I97,"Finalizado")/2*100+COUNTIF(Controles!I95:I97,"Em andamento")/2*50-COUNTIF(Controles!I95:I97,"Não inciado")/2*100</f>
        <v>50</v>
      </c>
    </row>
    <row r="78" spans="2:3" x14ac:dyDescent="0.25">
      <c r="B78" s="1" t="s">
        <v>328</v>
      </c>
      <c r="C78" s="89">
        <f>COUNTIF(Controles!I98:I106,"Finalizado")/5*100+COUNTIF(Controles!I98:I106,"Em andamento")/5*50-COUNTIF(Controles!I98:I106,"Não inciado")/5*100</f>
        <v>40</v>
      </c>
    </row>
    <row r="79" spans="2:3" x14ac:dyDescent="0.25">
      <c r="B79" s="1" t="s">
        <v>342</v>
      </c>
      <c r="C79" s="89">
        <f>COUNTIF(Controles!I107,"Finalizado")*100+COUNTIF(Controles!I107,"Em andamento")*50-COUNTIF(Controles!I107,"Não inciado")*100</f>
        <v>0</v>
      </c>
    </row>
    <row r="80" spans="2:3" x14ac:dyDescent="0.25">
      <c r="B80" s="81" t="s">
        <v>351</v>
      </c>
      <c r="C80" s="89">
        <f>COUNTIF(Controles!I111:I118,"Finalizado")/2*100+COUNTIF(Controles!I111:I118,"Em andamento")/2*50-COUNTIF(Controles!I111:I118,"Não inciado")/2*100</f>
        <v>0</v>
      </c>
    </row>
    <row r="81" spans="2:3" x14ac:dyDescent="0.25">
      <c r="B81" s="81" t="s">
        <v>365</v>
      </c>
      <c r="C81" s="89">
        <f>COUNTIF(Controles!I119:I125,"Finalizado")/7*100+COUNTIF(Controles!I119:I125,"Em andamento")/7*50-COUNTIF(Controles!I119:I125,"Não inciado")/7*100</f>
        <v>100</v>
      </c>
    </row>
  </sheetData>
  <mergeCells count="26">
    <mergeCell ref="B43:C43"/>
    <mergeCell ref="B56:C56"/>
    <mergeCell ref="H32:I32"/>
    <mergeCell ref="E34:F34"/>
    <mergeCell ref="B35:C35"/>
    <mergeCell ref="E38:F38"/>
    <mergeCell ref="B39:C39"/>
    <mergeCell ref="E42:F42"/>
    <mergeCell ref="B31:C31"/>
    <mergeCell ref="E11:F11"/>
    <mergeCell ref="E15:F15"/>
    <mergeCell ref="H15:I15"/>
    <mergeCell ref="B18:C18"/>
    <mergeCell ref="E20:F20"/>
    <mergeCell ref="H20:I20"/>
    <mergeCell ref="E24:F24"/>
    <mergeCell ref="H24:I24"/>
    <mergeCell ref="B26:C26"/>
    <mergeCell ref="H28:I28"/>
    <mergeCell ref="E30:F30"/>
    <mergeCell ref="H10:I10"/>
    <mergeCell ref="B2:J3"/>
    <mergeCell ref="B5:C5"/>
    <mergeCell ref="E5:F5"/>
    <mergeCell ref="H5:I5"/>
    <mergeCell ref="B9:C9"/>
  </mergeCells>
  <dataValidations count="1">
    <dataValidation type="list" allowBlank="1" showInputMessage="1" showErrorMessage="1" sqref="C51:C54" xr:uid="{2FEFF7D0-8705-564C-A024-57E5ACB292AA}">
      <formula1>adhesion</formula1>
    </dataValidation>
  </dataValidations>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4AD45-7872-C045-B30B-30444E0CD643}">
  <dimension ref="A1:S2"/>
  <sheetViews>
    <sheetView showGridLines="0" topLeftCell="A2" zoomScale="78" zoomScaleNormal="78" workbookViewId="0">
      <selection activeCell="G34" sqref="G34"/>
    </sheetView>
  </sheetViews>
  <sheetFormatPr defaultColWidth="9.125" defaultRowHeight="15" x14ac:dyDescent="0.25"/>
  <cols>
    <col min="1" max="18" width="9.125" style="1"/>
    <col min="19" max="19" width="108.625" style="1" customWidth="1"/>
    <col min="20" max="16384" width="9.125" style="1"/>
  </cols>
  <sheetData>
    <row r="1" spans="1:19" ht="15" customHeight="1" x14ac:dyDescent="0.25">
      <c r="A1" s="128"/>
      <c r="B1" s="128"/>
      <c r="C1" s="128"/>
      <c r="D1" s="128"/>
      <c r="E1" s="128"/>
      <c r="F1" s="128"/>
      <c r="G1" s="128"/>
      <c r="H1" s="128"/>
      <c r="I1" s="128"/>
      <c r="J1" s="128"/>
      <c r="K1" s="128"/>
      <c r="L1" s="128"/>
      <c r="M1" s="128"/>
      <c r="N1" s="128"/>
      <c r="O1" s="128"/>
      <c r="P1" s="128"/>
      <c r="Q1" s="128"/>
      <c r="R1" s="128"/>
      <c r="S1" s="128"/>
    </row>
    <row r="2" spans="1:19" ht="15" customHeight="1" x14ac:dyDescent="0.25">
      <c r="A2" s="128"/>
      <c r="B2" s="128"/>
      <c r="C2" s="128"/>
      <c r="D2" s="128"/>
      <c r="E2" s="128"/>
      <c r="F2" s="128"/>
      <c r="G2" s="128"/>
      <c r="H2" s="128"/>
      <c r="I2" s="128"/>
      <c r="J2" s="128"/>
      <c r="K2" s="128"/>
      <c r="L2" s="128"/>
      <c r="M2" s="128"/>
      <c r="N2" s="128"/>
      <c r="O2" s="128"/>
      <c r="P2" s="128"/>
      <c r="Q2" s="128"/>
      <c r="R2" s="128"/>
      <c r="S2" s="128"/>
    </row>
  </sheetData>
  <mergeCells count="3">
    <mergeCell ref="A1:I2"/>
    <mergeCell ref="J1:R2"/>
    <mergeCell ref="S1:S2"/>
  </mergeCells>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Perfil da Organização</vt:lpstr>
      <vt:lpstr>Aplicabilidade</vt:lpstr>
      <vt:lpstr>Conceitos</vt:lpstr>
      <vt:lpstr>Controles</vt:lpstr>
      <vt:lpstr>Analítico</vt:lpstr>
      <vt:lpstr>Status da Análise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Milena Santos</dc:creator>
  <cp:lastModifiedBy>Durval Senna da Silva</cp:lastModifiedBy>
  <dcterms:created xsi:type="dcterms:W3CDTF">2023-11-14T17:42:12Z</dcterms:created>
  <dcterms:modified xsi:type="dcterms:W3CDTF">2026-05-03T21:32:07Z</dcterms:modified>
</cp:coreProperties>
</file>